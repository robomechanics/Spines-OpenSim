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obiora/Downloads/"/>
    </mc:Choice>
  </mc:AlternateContent>
  <xr:revisionPtr revIDLastSave="0" documentId="13_ncr:1_{F20EB00F-5B07-0042-B2D0-399C0EE7A59C}" xr6:coauthVersionLast="47" xr6:coauthVersionMax="47" xr10:uidLastSave="{00000000-0000-0000-0000-000000000000}"/>
  <bookViews>
    <workbookView xWindow="0" yWindow="600" windowWidth="23260" windowHeight="12460" xr2:uid="{00000000-000D-0000-FFFF-FFFF00000000}"/>
  </bookViews>
  <sheets>
    <sheet name="Raw data - hindlimb" sheetId="1" r:id="rId1"/>
    <sheet name="Raw data - forelimb" sheetId="11" r:id="rId2"/>
    <sheet name="Collated data - hindlimb" sheetId="13" r:id="rId3"/>
    <sheet name="Collated data - forelimb" sheetId="1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59" i="1" l="1"/>
  <c r="E1059" i="1"/>
  <c r="F1059" i="1"/>
  <c r="F803" i="1"/>
  <c r="E803" i="1"/>
  <c r="E729" i="1"/>
  <c r="E840" i="1"/>
  <c r="F840" i="1"/>
  <c r="D840" i="1" s="1"/>
  <c r="F729" i="1"/>
  <c r="D729" i="1" s="1"/>
  <c r="L806" i="1"/>
  <c r="P31" i="12"/>
  <c r="Q31" i="12"/>
  <c r="R31" i="12"/>
  <c r="J875" i="11"/>
  <c r="J876" i="11"/>
  <c r="J877" i="11"/>
  <c r="J878" i="11"/>
  <c r="J879" i="11"/>
  <c r="J880" i="11"/>
  <c r="J881" i="11"/>
  <c r="J882" i="11"/>
  <c r="J883" i="11"/>
  <c r="J884" i="11"/>
  <c r="J885" i="11"/>
  <c r="J886" i="11"/>
  <c r="J887" i="11"/>
  <c r="J888" i="11"/>
  <c r="J889" i="11"/>
  <c r="J890" i="11"/>
  <c r="J891" i="11"/>
  <c r="J892" i="11"/>
  <c r="J893" i="11"/>
  <c r="J894" i="11"/>
  <c r="J895" i="11"/>
  <c r="J896" i="11"/>
  <c r="J897" i="11"/>
  <c r="J898" i="11"/>
  <c r="J899" i="11"/>
  <c r="J900" i="11"/>
  <c r="J901" i="11"/>
  <c r="J902" i="11"/>
  <c r="J903" i="11"/>
  <c r="J904" i="11"/>
  <c r="J905" i="11"/>
  <c r="J906" i="11"/>
  <c r="J907" i="11"/>
  <c r="J908" i="11"/>
  <c r="J909" i="11"/>
  <c r="J910" i="11"/>
  <c r="J911" i="11"/>
  <c r="J912" i="11"/>
  <c r="J913" i="11"/>
  <c r="D803" i="1" l="1"/>
  <c r="R11" i="12"/>
  <c r="Q11" i="12"/>
  <c r="P11" i="12"/>
  <c r="R9" i="12"/>
  <c r="J161" i="11" l="1"/>
  <c r="J162" i="11"/>
  <c r="J163" i="11"/>
  <c r="J164" i="11"/>
  <c r="J165" i="11"/>
  <c r="J166" i="11"/>
  <c r="J167" i="11"/>
  <c r="J168" i="11"/>
  <c r="J169" i="11"/>
  <c r="J192" i="11"/>
  <c r="J193" i="11"/>
  <c r="J194" i="11"/>
  <c r="J195" i="11"/>
  <c r="J196" i="11"/>
  <c r="J197" i="11"/>
  <c r="J198" i="11"/>
  <c r="J199" i="11"/>
  <c r="J200" i="11"/>
  <c r="J201" i="11"/>
  <c r="J202" i="11"/>
  <c r="J203" i="11"/>
  <c r="J204" i="11"/>
  <c r="J205" i="11"/>
  <c r="J206" i="11"/>
  <c r="J207" i="11"/>
  <c r="J208" i="11"/>
  <c r="J209" i="11"/>
  <c r="J210" i="11"/>
  <c r="J211" i="11"/>
  <c r="J212" i="11"/>
  <c r="J213" i="11"/>
  <c r="X19" i="13" l="1"/>
  <c r="AB19" i="13"/>
  <c r="AA19" i="13"/>
  <c r="Z19" i="13"/>
  <c r="Y19" i="13"/>
  <c r="J521" i="1" l="1"/>
  <c r="J501" i="1" l="1"/>
  <c r="J502" i="1"/>
  <c r="J503" i="1"/>
  <c r="J513" i="1"/>
  <c r="J517" i="1"/>
  <c r="J504" i="1"/>
  <c r="J516" i="1"/>
  <c r="J505" i="1"/>
  <c r="J506" i="1"/>
  <c r="J514" i="1"/>
  <c r="J515" i="1"/>
  <c r="J507" i="1"/>
  <c r="J508" i="1"/>
  <c r="J509" i="1"/>
  <c r="J510" i="1"/>
  <c r="J519" i="1"/>
  <c r="J520" i="1"/>
  <c r="J511" i="1"/>
  <c r="J512" i="1"/>
  <c r="J518" i="1"/>
  <c r="J141" i="1" l="1"/>
  <c r="J140" i="1"/>
  <c r="J138" i="1"/>
  <c r="J210" i="1"/>
  <c r="J209" i="1"/>
  <c r="J207" i="1"/>
  <c r="J71" i="1"/>
  <c r="J70" i="1"/>
  <c r="J68" i="1"/>
  <c r="J106" i="1"/>
  <c r="J105" i="1"/>
  <c r="J103" i="1"/>
  <c r="J36" i="1"/>
  <c r="J175" i="1"/>
  <c r="J174" i="1"/>
  <c r="J176" i="1"/>
  <c r="J35" i="1"/>
  <c r="J37" i="1"/>
  <c r="J172" i="1"/>
  <c r="J34" i="1"/>
  <c r="J33" i="1"/>
  <c r="R33" i="12" l="1"/>
  <c r="Q32" i="12"/>
  <c r="J842" i="11"/>
  <c r="J843" i="11"/>
  <c r="J844" i="11"/>
  <c r="J845" i="11"/>
  <c r="J846" i="11"/>
  <c r="J847" i="11"/>
  <c r="J848" i="11"/>
  <c r="J849" i="11"/>
  <c r="J850" i="11"/>
  <c r="J853" i="11"/>
  <c r="J851" i="11"/>
  <c r="J852" i="11"/>
  <c r="J854" i="11"/>
  <c r="J855" i="11"/>
  <c r="J856" i="11"/>
  <c r="J857" i="11"/>
  <c r="J858" i="11"/>
  <c r="J859" i="11"/>
  <c r="J860" i="11"/>
  <c r="J861" i="11"/>
  <c r="J862" i="11"/>
  <c r="J863" i="11"/>
  <c r="J864" i="11"/>
  <c r="J865" i="11"/>
  <c r="J866" i="11"/>
  <c r="J867" i="11"/>
  <c r="J868" i="11"/>
  <c r="J869" i="11"/>
  <c r="J870" i="11"/>
  <c r="J871" i="11"/>
  <c r="J872" i="11"/>
  <c r="J873" i="11"/>
  <c r="J874" i="11"/>
  <c r="J821" i="11"/>
  <c r="J822" i="11"/>
  <c r="J823" i="11"/>
  <c r="J824" i="11"/>
  <c r="J825" i="11"/>
  <c r="J826" i="11"/>
  <c r="J827" i="11"/>
  <c r="J828" i="11"/>
  <c r="J829" i="11"/>
  <c r="J830" i="11"/>
  <c r="J831" i="11"/>
  <c r="J832" i="11"/>
  <c r="J833" i="11"/>
  <c r="J834" i="11"/>
  <c r="J835" i="11"/>
  <c r="J836" i="11"/>
  <c r="J837" i="11"/>
  <c r="J838" i="11"/>
  <c r="J839" i="11"/>
  <c r="J840" i="11"/>
  <c r="J841" i="11"/>
  <c r="P4" i="12" l="1"/>
  <c r="Q4" i="12"/>
  <c r="R4" i="12"/>
  <c r="P5" i="12"/>
  <c r="Q5" i="12"/>
  <c r="R5" i="12"/>
  <c r="P6" i="12"/>
  <c r="Q6" i="12"/>
  <c r="R6" i="12"/>
  <c r="P7" i="12"/>
  <c r="Q7" i="12"/>
  <c r="R7" i="12"/>
  <c r="P8" i="12"/>
  <c r="Q8" i="12"/>
  <c r="R8" i="12"/>
  <c r="P10" i="12"/>
  <c r="Q10" i="12"/>
  <c r="R10" i="12"/>
  <c r="P12" i="12"/>
  <c r="Q12" i="12"/>
  <c r="R12" i="12"/>
  <c r="P13" i="12"/>
  <c r="Q13" i="12"/>
  <c r="R13" i="12"/>
  <c r="P14" i="12"/>
  <c r="Q14" i="12"/>
  <c r="R14" i="12"/>
  <c r="P15" i="12"/>
  <c r="Q15" i="12"/>
  <c r="R15" i="12"/>
  <c r="P16" i="12"/>
  <c r="Q16" i="12"/>
  <c r="R16" i="12"/>
  <c r="P17" i="12"/>
  <c r="Q17" i="12"/>
  <c r="R17" i="12"/>
  <c r="P18" i="12"/>
  <c r="Q18" i="12"/>
  <c r="R18" i="12"/>
  <c r="P19" i="12"/>
  <c r="Q19" i="12"/>
  <c r="R19" i="12"/>
  <c r="P20" i="12"/>
  <c r="Q20" i="12"/>
  <c r="R20" i="12"/>
  <c r="P21" i="12"/>
  <c r="Q21" i="12"/>
  <c r="R21" i="12"/>
  <c r="P22" i="12"/>
  <c r="Q22" i="12"/>
  <c r="R22" i="12"/>
  <c r="P23" i="12"/>
  <c r="Q23" i="12"/>
  <c r="R23" i="12"/>
  <c r="P24" i="12"/>
  <c r="Q24" i="12"/>
  <c r="R24" i="12"/>
  <c r="P25" i="12"/>
  <c r="Q25" i="12"/>
  <c r="R25" i="12"/>
  <c r="P26" i="12"/>
  <c r="Q26" i="12"/>
  <c r="R26" i="12"/>
  <c r="P27" i="12"/>
  <c r="Q27" i="12"/>
  <c r="R27" i="12"/>
  <c r="P28" i="12"/>
  <c r="Q28" i="12"/>
  <c r="R28" i="12"/>
  <c r="P29" i="12"/>
  <c r="Q29" i="12"/>
  <c r="R29" i="12"/>
  <c r="P30" i="12"/>
  <c r="Q30" i="12"/>
  <c r="R30" i="12"/>
  <c r="P3" i="12"/>
  <c r="Q3" i="12"/>
  <c r="R3" i="12"/>
  <c r="X4" i="13"/>
  <c r="Y4" i="13"/>
  <c r="Z4" i="13"/>
  <c r="AA4" i="13"/>
  <c r="AB4" i="13"/>
  <c r="X5" i="13"/>
  <c r="Y5" i="13"/>
  <c r="Z5" i="13"/>
  <c r="AA5" i="13"/>
  <c r="AB5" i="13"/>
  <c r="X6" i="13"/>
  <c r="Y6" i="13"/>
  <c r="Z6" i="13"/>
  <c r="AA6" i="13"/>
  <c r="AB6" i="13"/>
  <c r="X7" i="13"/>
  <c r="Y7" i="13"/>
  <c r="Z7" i="13"/>
  <c r="AA7" i="13"/>
  <c r="AB7" i="13"/>
  <c r="X8" i="13"/>
  <c r="Y8" i="13"/>
  <c r="Z8" i="13"/>
  <c r="AA8" i="13"/>
  <c r="AB8" i="13"/>
  <c r="X9" i="13"/>
  <c r="Z9" i="13"/>
  <c r="AB9" i="13"/>
  <c r="X10" i="13"/>
  <c r="Z10" i="13"/>
  <c r="AB10" i="13"/>
  <c r="X11" i="13"/>
  <c r="Z11" i="13"/>
  <c r="AB11" i="13"/>
  <c r="X12" i="13"/>
  <c r="Z12" i="13"/>
  <c r="AB12" i="13"/>
  <c r="X13" i="13"/>
  <c r="Z13" i="13"/>
  <c r="AB13" i="13"/>
  <c r="X14" i="13"/>
  <c r="Y14" i="13"/>
  <c r="Z14" i="13"/>
  <c r="AA14" i="13"/>
  <c r="AB14" i="13"/>
  <c r="X15" i="13"/>
  <c r="Y15" i="13"/>
  <c r="Z15" i="13"/>
  <c r="AA15" i="13"/>
  <c r="AB15" i="13"/>
  <c r="X16" i="13"/>
  <c r="Y16" i="13"/>
  <c r="Z16" i="13"/>
  <c r="AA16" i="13"/>
  <c r="AB16" i="13"/>
  <c r="X17" i="13"/>
  <c r="Y17" i="13"/>
  <c r="Z17" i="13"/>
  <c r="AA17" i="13"/>
  <c r="AB17" i="13"/>
  <c r="X18" i="13"/>
  <c r="Y18" i="13"/>
  <c r="Z18" i="13"/>
  <c r="AA18" i="13"/>
  <c r="AB18" i="13"/>
  <c r="X20" i="13"/>
  <c r="Z20" i="13"/>
  <c r="AB20" i="13"/>
  <c r="X21" i="13"/>
  <c r="Z21" i="13"/>
  <c r="AB21" i="13"/>
  <c r="X22" i="13"/>
  <c r="Z22" i="13"/>
  <c r="AB22" i="13"/>
  <c r="X23" i="13"/>
  <c r="Z23" i="13"/>
  <c r="AB23" i="13"/>
  <c r="X24" i="13"/>
  <c r="Z24" i="13"/>
  <c r="AB24" i="13"/>
  <c r="X25" i="13"/>
  <c r="Z25" i="13"/>
  <c r="AB25" i="13"/>
  <c r="X26" i="13"/>
  <c r="Z26" i="13"/>
  <c r="AB26" i="13"/>
  <c r="X27" i="13"/>
  <c r="Z27" i="13"/>
  <c r="AB27" i="13"/>
  <c r="X28" i="13"/>
  <c r="Z28" i="13"/>
  <c r="AB28" i="13"/>
  <c r="X29" i="13"/>
  <c r="Z29" i="13"/>
  <c r="AB29" i="13"/>
  <c r="X30" i="13"/>
  <c r="Z30" i="13"/>
  <c r="AB30" i="13"/>
  <c r="X31" i="13"/>
  <c r="Z31" i="13"/>
  <c r="AB31" i="13"/>
  <c r="X32" i="13"/>
  <c r="Z32" i="13"/>
  <c r="AB32" i="13"/>
  <c r="X33" i="13"/>
  <c r="Z33" i="13"/>
  <c r="AB33" i="13"/>
  <c r="X34" i="13"/>
  <c r="Z34" i="13"/>
  <c r="AB34" i="13"/>
  <c r="X35" i="13"/>
  <c r="Z35" i="13"/>
  <c r="AB35" i="13"/>
  <c r="X36" i="13"/>
  <c r="Z36" i="13"/>
  <c r="AB36" i="13"/>
  <c r="X37" i="13"/>
  <c r="Z37" i="13"/>
  <c r="AB37" i="13"/>
  <c r="X38" i="13"/>
  <c r="Z38" i="13"/>
  <c r="AB38" i="13"/>
  <c r="Y3" i="13"/>
  <c r="Z3" i="13"/>
  <c r="AA3" i="13"/>
  <c r="AB3" i="13"/>
  <c r="X3" i="13"/>
  <c r="J350" i="1" l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985" i="1" l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984" i="1"/>
  <c r="J282" i="11" l="1"/>
  <c r="J283" i="11"/>
  <c r="J284" i="11"/>
  <c r="J285" i="11"/>
  <c r="J286" i="11"/>
  <c r="J287" i="11"/>
  <c r="J289" i="11"/>
  <c r="J290" i="11"/>
  <c r="J291" i="11"/>
  <c r="J292" i="11"/>
  <c r="J293" i="11"/>
  <c r="J294" i="11"/>
  <c r="J295" i="11"/>
  <c r="J296" i="11"/>
  <c r="J297" i="11"/>
  <c r="J298" i="11"/>
  <c r="J299" i="11"/>
  <c r="J300" i="11"/>
  <c r="J301" i="11"/>
  <c r="J302" i="11"/>
  <c r="J303" i="11"/>
  <c r="J271" i="11"/>
  <c r="J288" i="11"/>
  <c r="J272" i="11"/>
  <c r="J273" i="11"/>
  <c r="J274" i="11"/>
  <c r="J275" i="11"/>
  <c r="J276" i="11"/>
  <c r="J277" i="11"/>
  <c r="J278" i="11"/>
  <c r="J279" i="11"/>
  <c r="J280" i="11"/>
  <c r="J281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324" i="1"/>
  <c r="J325" i="1"/>
  <c r="J326" i="1"/>
  <c r="J327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17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8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31" i="1" l="1"/>
  <c r="J232" i="1"/>
  <c r="J233" i="1"/>
  <c r="J234" i="1"/>
  <c r="J235" i="1"/>
  <c r="J236" i="1"/>
  <c r="J237" i="1"/>
  <c r="J238" i="1"/>
  <c r="J239" i="1"/>
  <c r="J240" i="1"/>
  <c r="J241" i="1"/>
  <c r="J242" i="1"/>
  <c r="J696" i="11"/>
  <c r="J697" i="11"/>
  <c r="J698" i="11"/>
  <c r="J699" i="11"/>
  <c r="J700" i="11"/>
  <c r="J701" i="11"/>
  <c r="J702" i="11"/>
  <c r="J703" i="11"/>
  <c r="J704" i="11"/>
  <c r="J705" i="11"/>
  <c r="J706" i="11"/>
  <c r="J707" i="11"/>
  <c r="J708" i="11"/>
  <c r="J709" i="11"/>
  <c r="J710" i="11"/>
  <c r="J711" i="11"/>
  <c r="J712" i="11"/>
  <c r="J713" i="11"/>
  <c r="J714" i="11"/>
  <c r="J715" i="11"/>
  <c r="J716" i="11"/>
  <c r="J717" i="11"/>
  <c r="J718" i="11"/>
  <c r="J719" i="11"/>
  <c r="J720" i="11"/>
  <c r="J721" i="11"/>
  <c r="J722" i="11"/>
  <c r="J723" i="11"/>
  <c r="J724" i="11"/>
  <c r="J725" i="11"/>
  <c r="J726" i="11"/>
  <c r="J727" i="11"/>
  <c r="J728" i="11"/>
  <c r="J729" i="11"/>
  <c r="J730" i="11"/>
  <c r="J731" i="11"/>
  <c r="J732" i="11"/>
  <c r="J733" i="11"/>
  <c r="J734" i="11"/>
  <c r="J735" i="11"/>
  <c r="J736" i="11"/>
  <c r="J737" i="11"/>
  <c r="J738" i="11"/>
  <c r="J739" i="11"/>
  <c r="J740" i="11"/>
  <c r="J741" i="11"/>
  <c r="J742" i="11"/>
  <c r="J743" i="11"/>
  <c r="J744" i="11"/>
  <c r="J745" i="11"/>
  <c r="J746" i="11"/>
  <c r="J747" i="11"/>
  <c r="J748" i="11"/>
  <c r="J749" i="11"/>
  <c r="J750" i="11"/>
  <c r="J751" i="11"/>
  <c r="J752" i="11"/>
  <c r="J753" i="11"/>
  <c r="J754" i="11"/>
  <c r="J755" i="11"/>
  <c r="J756" i="11"/>
  <c r="J757" i="11"/>
  <c r="J758" i="11"/>
  <c r="J759" i="11"/>
  <c r="J760" i="11"/>
  <c r="J761" i="11"/>
  <c r="J762" i="11"/>
  <c r="J763" i="11"/>
  <c r="J764" i="11"/>
  <c r="J765" i="11"/>
  <c r="J766" i="11"/>
  <c r="J767" i="11"/>
  <c r="J768" i="11"/>
  <c r="J769" i="11"/>
  <c r="J770" i="11"/>
  <c r="J771" i="11"/>
  <c r="J772" i="11"/>
  <c r="J773" i="11"/>
  <c r="J774" i="11"/>
  <c r="J775" i="11"/>
  <c r="J776" i="11"/>
  <c r="J777" i="11"/>
  <c r="J778" i="11"/>
  <c r="J779" i="11"/>
  <c r="J780" i="11"/>
  <c r="J781" i="11"/>
  <c r="J684" i="11"/>
  <c r="J685" i="11"/>
  <c r="J686" i="11"/>
  <c r="J687" i="11"/>
  <c r="J688" i="11"/>
  <c r="J689" i="11"/>
  <c r="J690" i="11"/>
  <c r="J691" i="11"/>
  <c r="J692" i="11"/>
  <c r="J693" i="11"/>
  <c r="J694" i="11"/>
  <c r="J695" i="11"/>
  <c r="J675" i="11"/>
  <c r="J676" i="11"/>
  <c r="J677" i="11"/>
  <c r="J678" i="11"/>
  <c r="J679" i="11"/>
  <c r="J681" i="11"/>
  <c r="J680" i="11"/>
  <c r="J682" i="11"/>
  <c r="J683" i="11"/>
  <c r="J671" i="11"/>
  <c r="J672" i="11"/>
  <c r="J673" i="11"/>
  <c r="J674" i="11"/>
  <c r="J670" i="11"/>
  <c r="J312" i="11"/>
  <c r="J313" i="11"/>
  <c r="J316" i="11"/>
  <c r="J314" i="11"/>
  <c r="J315" i="11"/>
  <c r="J317" i="11"/>
  <c r="J318" i="11"/>
  <c r="J319" i="11"/>
  <c r="J320" i="11"/>
  <c r="J321" i="11"/>
  <c r="J322" i="11"/>
  <c r="J323" i="11"/>
  <c r="J324" i="11"/>
  <c r="J325" i="11"/>
  <c r="J326" i="11"/>
  <c r="J327" i="11"/>
  <c r="J350" i="11"/>
  <c r="J328" i="11"/>
  <c r="J329" i="11"/>
  <c r="J330" i="11"/>
  <c r="J331" i="11"/>
  <c r="J332" i="11"/>
  <c r="J333" i="11"/>
  <c r="J334" i="11"/>
  <c r="J351" i="11"/>
  <c r="J352" i="11"/>
  <c r="J353" i="11"/>
  <c r="J354" i="11"/>
  <c r="J355" i="11"/>
  <c r="J356" i="11"/>
  <c r="J357" i="11"/>
  <c r="J358" i="11"/>
  <c r="J359" i="11"/>
  <c r="J360" i="11"/>
  <c r="J361" i="11"/>
  <c r="J362" i="11"/>
  <c r="J363" i="11"/>
  <c r="J364" i="11"/>
  <c r="J335" i="11"/>
  <c r="J336" i="11"/>
  <c r="J337" i="11"/>
  <c r="J338" i="11"/>
  <c r="J339" i="11"/>
  <c r="J340" i="11"/>
  <c r="J341" i="11"/>
  <c r="J342" i="11"/>
  <c r="J343" i="11"/>
  <c r="J344" i="11"/>
  <c r="J345" i="11"/>
  <c r="J346" i="11"/>
  <c r="J347" i="11"/>
  <c r="J348" i="11"/>
  <c r="J349" i="11"/>
  <c r="J365" i="11"/>
  <c r="J366" i="11"/>
  <c r="J367" i="11"/>
  <c r="J368" i="11"/>
  <c r="J369" i="11"/>
  <c r="J370" i="11"/>
  <c r="J371" i="11"/>
  <c r="J372" i="11"/>
  <c r="J373" i="11"/>
  <c r="J374" i="11"/>
  <c r="J375" i="11"/>
  <c r="J376" i="11"/>
  <c r="J377" i="11"/>
  <c r="J378" i="11"/>
  <c r="J379" i="11"/>
  <c r="J380" i="11"/>
  <c r="J381" i="11"/>
  <c r="J382" i="11"/>
  <c r="J383" i="11"/>
  <c r="J384" i="11"/>
  <c r="J389" i="11"/>
  <c r="J385" i="11"/>
  <c r="J390" i="11"/>
  <c r="J391" i="11"/>
  <c r="J392" i="11"/>
  <c r="J393" i="11"/>
  <c r="J394" i="11"/>
  <c r="J395" i="11"/>
  <c r="J396" i="11"/>
  <c r="J397" i="11"/>
  <c r="J398" i="11"/>
  <c r="J399" i="11"/>
  <c r="J400" i="11"/>
  <c r="J401" i="11"/>
  <c r="J402" i="11"/>
  <c r="J403" i="11"/>
  <c r="J386" i="11"/>
  <c r="J387" i="11"/>
  <c r="J404" i="11"/>
  <c r="J388" i="11"/>
  <c r="J405" i="11"/>
  <c r="J406" i="11"/>
  <c r="J407" i="11"/>
  <c r="J408" i="11"/>
  <c r="J409" i="11"/>
  <c r="J410" i="11"/>
  <c r="J411" i="11"/>
  <c r="J412" i="11"/>
  <c r="J413" i="11"/>
  <c r="J414" i="11"/>
  <c r="J415" i="11"/>
  <c r="J416" i="11"/>
  <c r="J417" i="11"/>
  <c r="J418" i="11"/>
  <c r="J419" i="11"/>
  <c r="J420" i="11"/>
  <c r="J421" i="11"/>
  <c r="J422" i="11"/>
  <c r="J423" i="11"/>
  <c r="J424" i="11"/>
  <c r="J426" i="11"/>
  <c r="J425" i="11"/>
  <c r="J427" i="11"/>
  <c r="J428" i="11"/>
  <c r="J429" i="11"/>
  <c r="J430" i="11"/>
  <c r="J431" i="11"/>
  <c r="J432" i="11"/>
  <c r="J433" i="11"/>
  <c r="J434" i="11"/>
  <c r="J435" i="11"/>
  <c r="J436" i="11"/>
  <c r="J437" i="11"/>
  <c r="J438" i="11"/>
  <c r="J439" i="11"/>
  <c r="J440" i="11"/>
  <c r="J441" i="11"/>
  <c r="J442" i="11"/>
  <c r="J443" i="11"/>
  <c r="J444" i="11"/>
  <c r="J445" i="11"/>
  <c r="J304" i="11"/>
  <c r="J305" i="11"/>
  <c r="J306" i="11"/>
  <c r="J307" i="11"/>
  <c r="J308" i="11"/>
  <c r="J309" i="11"/>
  <c r="J310" i="11"/>
  <c r="J311" i="11"/>
  <c r="J261" i="11"/>
  <c r="J262" i="11"/>
  <c r="J263" i="11"/>
  <c r="J264" i="11"/>
  <c r="J265" i="11"/>
  <c r="J266" i="11"/>
  <c r="J267" i="11"/>
  <c r="J268" i="11"/>
  <c r="J269" i="11"/>
  <c r="J270" i="11"/>
  <c r="J245" i="11"/>
  <c r="J246" i="11"/>
  <c r="J247" i="11"/>
  <c r="J248" i="11"/>
  <c r="J249" i="11"/>
  <c r="J250" i="11"/>
  <c r="J251" i="11"/>
  <c r="J252" i="11"/>
  <c r="J253" i="11"/>
  <c r="J254" i="11"/>
  <c r="J255" i="11"/>
  <c r="J256" i="11"/>
  <c r="J257" i="11"/>
  <c r="J258" i="11"/>
  <c r="J259" i="11"/>
  <c r="J260" i="11"/>
  <c r="J243" i="11"/>
  <c r="J244" i="11"/>
  <c r="J170" i="11"/>
  <c r="J171" i="11"/>
  <c r="J172" i="11"/>
  <c r="J173" i="11"/>
  <c r="J174" i="11"/>
  <c r="J175" i="11"/>
  <c r="J176" i="11"/>
  <c r="J177" i="11"/>
  <c r="J178" i="11"/>
  <c r="J179" i="11"/>
  <c r="J180" i="11"/>
  <c r="J181" i="11"/>
  <c r="J182" i="11"/>
  <c r="J183" i="11"/>
  <c r="J184" i="11"/>
  <c r="J185" i="11"/>
  <c r="J186" i="11"/>
  <c r="J187" i="11"/>
  <c r="J188" i="11"/>
  <c r="J189" i="11"/>
  <c r="J190" i="11"/>
  <c r="J191" i="11"/>
  <c r="J150" i="11"/>
  <c r="J134" i="11"/>
  <c r="J135" i="11"/>
  <c r="J136" i="11"/>
  <c r="J137" i="11"/>
  <c r="J138" i="11"/>
  <c r="J139" i="11"/>
  <c r="J151" i="11"/>
  <c r="J152" i="11"/>
  <c r="J154" i="11"/>
  <c r="J155" i="11"/>
  <c r="J156" i="11"/>
  <c r="J157" i="11"/>
  <c r="J140" i="11"/>
  <c r="J141" i="11"/>
  <c r="J142" i="11"/>
  <c r="J159" i="11"/>
  <c r="J143" i="11"/>
  <c r="J144" i="11"/>
  <c r="J145" i="11"/>
  <c r="J160" i="11"/>
  <c r="J146" i="11"/>
  <c r="J147" i="11"/>
  <c r="J148" i="11"/>
  <c r="J149" i="11"/>
  <c r="F158" i="11"/>
  <c r="J158" i="11" s="1"/>
  <c r="F153" i="11"/>
  <c r="J153" i="11" s="1"/>
  <c r="J15" i="11"/>
  <c r="J16" i="11"/>
  <c r="J17" i="11"/>
  <c r="J50" i="11"/>
  <c r="J51" i="11"/>
  <c r="J52" i="11"/>
  <c r="J53" i="11"/>
  <c r="J54" i="11"/>
  <c r="J71" i="11"/>
  <c r="J55" i="11"/>
  <c r="J56" i="11"/>
  <c r="J57" i="11"/>
  <c r="J58" i="11"/>
  <c r="J59" i="11"/>
  <c r="J60" i="11"/>
  <c r="J72" i="11"/>
  <c r="J73" i="11"/>
  <c r="J74" i="11"/>
  <c r="J75" i="11"/>
  <c r="J76" i="11"/>
  <c r="J77" i="11"/>
  <c r="J78" i="11"/>
  <c r="J61" i="11"/>
  <c r="J62" i="11"/>
  <c r="J63" i="11"/>
  <c r="J79" i="11"/>
  <c r="J80" i="11"/>
  <c r="J64" i="11"/>
  <c r="J65" i="11"/>
  <c r="J66" i="11"/>
  <c r="J81" i="11"/>
  <c r="J67" i="11"/>
  <c r="J68" i="11"/>
  <c r="J69" i="11"/>
  <c r="J70" i="11"/>
  <c r="J82" i="11"/>
  <c r="J83" i="11"/>
  <c r="J84" i="11"/>
  <c r="J85" i="11"/>
  <c r="J86" i="11"/>
  <c r="J87" i="11"/>
  <c r="J98" i="11"/>
  <c r="J99" i="11"/>
  <c r="J100" i="11"/>
  <c r="J101" i="11"/>
  <c r="J102" i="11"/>
  <c r="J103" i="11"/>
  <c r="J104" i="11"/>
  <c r="J88" i="11"/>
  <c r="J89" i="11"/>
  <c r="J90" i="11"/>
  <c r="J105" i="11"/>
  <c r="J106" i="11"/>
  <c r="J91" i="11"/>
  <c r="J92" i="11"/>
  <c r="J93" i="11"/>
  <c r="J107" i="11"/>
  <c r="J94" i="11"/>
  <c r="J95" i="11"/>
  <c r="J96" i="11"/>
  <c r="J97" i="11"/>
  <c r="J123" i="11"/>
  <c r="J108" i="11"/>
  <c r="J109" i="11"/>
  <c r="J110" i="11"/>
  <c r="J111" i="11"/>
  <c r="J112" i="11"/>
  <c r="J113" i="11"/>
  <c r="J124" i="11"/>
  <c r="J125" i="11"/>
  <c r="J126" i="11"/>
  <c r="J127" i="11"/>
  <c r="J128" i="11"/>
  <c r="J129" i="11"/>
  <c r="J130" i="11"/>
  <c r="J114" i="11"/>
  <c r="J115" i="11"/>
  <c r="J131" i="11"/>
  <c r="J132" i="11"/>
  <c r="J116" i="11"/>
  <c r="J117" i="11"/>
  <c r="J118" i="11"/>
  <c r="J133" i="11"/>
  <c r="J119" i="11"/>
  <c r="J120" i="11"/>
  <c r="J121" i="11"/>
  <c r="J122" i="11"/>
  <c r="J3" i="11"/>
  <c r="J4" i="11"/>
  <c r="J5" i="11"/>
  <c r="J6" i="11"/>
  <c r="J7" i="11"/>
  <c r="J19" i="11"/>
  <c r="J20" i="11"/>
  <c r="J21" i="11"/>
  <c r="J22" i="11"/>
  <c r="J23" i="11"/>
  <c r="J24" i="11"/>
  <c r="J25" i="11"/>
  <c r="J8" i="11"/>
  <c r="J9" i="11"/>
  <c r="J10" i="11"/>
  <c r="J26" i="11"/>
  <c r="J27" i="11"/>
  <c r="J11" i="11"/>
  <c r="J12" i="11"/>
  <c r="J13" i="11"/>
  <c r="J28" i="11"/>
  <c r="J14" i="11"/>
  <c r="J2" i="11"/>
  <c r="J18" i="11"/>
  <c r="J522" i="1"/>
  <c r="J523" i="1"/>
  <c r="J524" i="1"/>
  <c r="J525" i="1"/>
  <c r="J526" i="1"/>
  <c r="J527" i="1"/>
  <c r="J528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45" i="1"/>
  <c r="J1044" i="1"/>
  <c r="J1043" i="1"/>
  <c r="J1058" i="1"/>
  <c r="J1057" i="1"/>
  <c r="J1042" i="1"/>
  <c r="J1041" i="1"/>
  <c r="J1040" i="1"/>
  <c r="J1039" i="1"/>
  <c r="J1038" i="1"/>
  <c r="J1037" i="1"/>
  <c r="J1036" i="1"/>
  <c r="J1035" i="1"/>
  <c r="J1034" i="1"/>
  <c r="J1056" i="1"/>
  <c r="J1055" i="1"/>
  <c r="J1054" i="1"/>
  <c r="J1033" i="1"/>
  <c r="J1032" i="1"/>
  <c r="J1031" i="1"/>
  <c r="J1030" i="1"/>
  <c r="J1029" i="1"/>
  <c r="J1028" i="1"/>
  <c r="J1027" i="1"/>
  <c r="J1026" i="1"/>
  <c r="J1025" i="1"/>
  <c r="J1053" i="1"/>
  <c r="J1052" i="1"/>
  <c r="J1051" i="1"/>
  <c r="J1050" i="1"/>
  <c r="J1049" i="1"/>
  <c r="J1048" i="1"/>
  <c r="J1047" i="1"/>
  <c r="J1046" i="1"/>
  <c r="J1024" i="1"/>
  <c r="J1023" i="1"/>
  <c r="J1022" i="1"/>
  <c r="J971" i="1"/>
  <c r="J970" i="1"/>
  <c r="J969" i="1"/>
  <c r="J983" i="1"/>
  <c r="J982" i="1"/>
  <c r="J981" i="1"/>
  <c r="J980" i="1"/>
  <c r="J968" i="1"/>
  <c r="J967" i="1"/>
  <c r="J966" i="1"/>
  <c r="J965" i="1"/>
  <c r="J964" i="1"/>
  <c r="J963" i="1"/>
  <c r="J979" i="1"/>
  <c r="J978" i="1"/>
  <c r="J962" i="1"/>
  <c r="J961" i="1"/>
  <c r="J960" i="1"/>
  <c r="J959" i="1"/>
  <c r="J958" i="1"/>
  <c r="J957" i="1"/>
  <c r="J956" i="1"/>
  <c r="J955" i="1"/>
  <c r="J954" i="1"/>
  <c r="J953" i="1"/>
  <c r="J952" i="1"/>
  <c r="J977" i="1"/>
  <c r="J976" i="1"/>
  <c r="J975" i="1"/>
  <c r="J974" i="1"/>
  <c r="J973" i="1"/>
  <c r="J97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384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8" i="1"/>
  <c r="J330" i="1" l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293" i="1"/>
  <c r="J257" i="1"/>
  <c r="J223" i="1"/>
  <c r="J161" i="1"/>
  <c r="J162" i="1"/>
  <c r="J163" i="1"/>
  <c r="J164" i="1"/>
  <c r="J152" i="1"/>
  <c r="J153" i="1"/>
  <c r="J154" i="1"/>
  <c r="J155" i="1"/>
  <c r="J156" i="1"/>
  <c r="J157" i="1"/>
  <c r="J158" i="1"/>
  <c r="J159" i="1"/>
  <c r="J160" i="1"/>
  <c r="J120" i="1"/>
  <c r="J121" i="1"/>
  <c r="J122" i="1"/>
  <c r="J123" i="1"/>
  <c r="J124" i="1"/>
  <c r="J125" i="1"/>
  <c r="J126" i="1"/>
  <c r="J127" i="1"/>
  <c r="J128" i="1"/>
  <c r="J129" i="1"/>
  <c r="J83" i="1"/>
  <c r="J84" i="1"/>
  <c r="J85" i="1"/>
  <c r="J86" i="1"/>
  <c r="J87" i="1"/>
  <c r="J88" i="1"/>
  <c r="J89" i="1"/>
  <c r="J90" i="1"/>
  <c r="J91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119" i="1"/>
  <c r="J93" i="1"/>
  <c r="J58" i="1"/>
  <c r="J38" i="1"/>
  <c r="J39" i="1"/>
  <c r="J40" i="1"/>
  <c r="J41" i="1"/>
  <c r="J42" i="1"/>
  <c r="J56" i="1"/>
  <c r="J57" i="1"/>
  <c r="J59" i="1"/>
  <c r="J60" i="1"/>
  <c r="J61" i="1"/>
  <c r="J62" i="1"/>
  <c r="J63" i="1"/>
  <c r="J64" i="1"/>
  <c r="J65" i="1"/>
  <c r="J66" i="1"/>
  <c r="J67" i="1"/>
  <c r="J69" i="1"/>
  <c r="J72" i="1"/>
  <c r="J73" i="1"/>
  <c r="J74" i="1"/>
  <c r="J75" i="1"/>
  <c r="J76" i="1"/>
  <c r="J77" i="1"/>
  <c r="J78" i="1"/>
  <c r="J79" i="1"/>
  <c r="J80" i="1"/>
  <c r="J81" i="1"/>
  <c r="J82" i="1"/>
  <c r="J92" i="1"/>
  <c r="J94" i="1"/>
  <c r="J95" i="1"/>
  <c r="J96" i="1"/>
  <c r="J97" i="1"/>
  <c r="J98" i="1"/>
  <c r="J99" i="1"/>
  <c r="J100" i="1"/>
  <c r="J101" i="1"/>
  <c r="J102" i="1"/>
  <c r="J104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30" i="1"/>
  <c r="J131" i="1"/>
  <c r="J132" i="1"/>
  <c r="J133" i="1"/>
  <c r="J134" i="1"/>
  <c r="J135" i="1"/>
  <c r="J136" i="1"/>
  <c r="J137" i="1"/>
  <c r="J139" i="1"/>
  <c r="J142" i="1"/>
  <c r="J143" i="1"/>
  <c r="J144" i="1"/>
  <c r="J145" i="1"/>
  <c r="J146" i="1"/>
  <c r="J147" i="1"/>
  <c r="J148" i="1"/>
  <c r="J149" i="1"/>
  <c r="J150" i="1"/>
  <c r="J151" i="1"/>
  <c r="J165" i="1"/>
  <c r="J166" i="1"/>
  <c r="J167" i="1"/>
  <c r="J168" i="1"/>
  <c r="J169" i="1"/>
  <c r="J170" i="1"/>
  <c r="J171" i="1"/>
  <c r="J173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4" i="1"/>
  <c r="J225" i="1"/>
  <c r="J226" i="1"/>
  <c r="J227" i="1"/>
  <c r="J228" i="1"/>
  <c r="J229" i="1"/>
  <c r="J230" i="1"/>
  <c r="J243" i="1"/>
  <c r="J244" i="1"/>
  <c r="J245" i="1"/>
  <c r="J246" i="1"/>
  <c r="J247" i="1"/>
  <c r="J248" i="1"/>
  <c r="J249" i="1"/>
  <c r="J250" i="1"/>
  <c r="J251" i="1"/>
  <c r="J253" i="1"/>
  <c r="J252" i="1"/>
  <c r="J254" i="1"/>
  <c r="J255" i="1"/>
  <c r="J256" i="1"/>
  <c r="J258" i="1"/>
  <c r="J259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4" i="1"/>
  <c r="J295" i="1"/>
  <c r="J296" i="1"/>
  <c r="J297" i="1"/>
  <c r="J298" i="1"/>
  <c r="J299" i="1"/>
  <c r="J300" i="1"/>
  <c r="J301" i="1"/>
  <c r="J302" i="1"/>
  <c r="J303" i="1"/>
  <c r="J319" i="1"/>
  <c r="J320" i="1"/>
  <c r="J321" i="1"/>
  <c r="J322" i="1"/>
  <c r="J323" i="1"/>
  <c r="J328" i="1"/>
  <c r="J329" i="1"/>
  <c r="J331" i="1"/>
  <c r="J332" i="1"/>
  <c r="J333" i="1"/>
  <c r="J334" i="1"/>
</calcChain>
</file>

<file path=xl/sharedStrings.xml><?xml version="1.0" encoding="utf-8"?>
<sst xmlns="http://schemas.openxmlformats.org/spreadsheetml/2006/main" count="10942" uniqueCount="1127">
  <si>
    <t>Species</t>
  </si>
  <si>
    <t>Struthio camelus</t>
  </si>
  <si>
    <t>GL</t>
  </si>
  <si>
    <t>GM</t>
  </si>
  <si>
    <t>ILFB</t>
  </si>
  <si>
    <t>AMB</t>
  </si>
  <si>
    <t>FDL</t>
  </si>
  <si>
    <t>FHL</t>
  </si>
  <si>
    <t>EDL</t>
  </si>
  <si>
    <t>FL</t>
  </si>
  <si>
    <t>Muscle</t>
  </si>
  <si>
    <t>IC</t>
  </si>
  <si>
    <t>IT1</t>
  </si>
  <si>
    <t>IT2</t>
  </si>
  <si>
    <t>IT3</t>
  </si>
  <si>
    <t>ILPO</t>
  </si>
  <si>
    <t>ILPR</t>
  </si>
  <si>
    <t>AMB2</t>
  </si>
  <si>
    <t>AMB1</t>
  </si>
  <si>
    <t>FMTE</t>
  </si>
  <si>
    <t>FMTL</t>
  </si>
  <si>
    <t>FMTM</t>
  </si>
  <si>
    <t>FMTI</t>
  </si>
  <si>
    <t>ITCa</t>
  </si>
  <si>
    <t>IFE</t>
  </si>
  <si>
    <t>IF</t>
  </si>
  <si>
    <t>ITCr</t>
  </si>
  <si>
    <t>ITM</t>
  </si>
  <si>
    <t>PIFE2</t>
  </si>
  <si>
    <t>PIFI2</t>
  </si>
  <si>
    <t>IFI</t>
  </si>
  <si>
    <t>PIFI1</t>
  </si>
  <si>
    <t>FCLP</t>
  </si>
  <si>
    <t>FTE</t>
  </si>
  <si>
    <t>FCM</t>
  </si>
  <si>
    <t>FTI3</t>
  </si>
  <si>
    <t>PIFM+L</t>
  </si>
  <si>
    <t>ADD1</t>
  </si>
  <si>
    <t>ADD2</t>
  </si>
  <si>
    <t>PIFL</t>
  </si>
  <si>
    <t>OL</t>
  </si>
  <si>
    <t>PIFE1</t>
  </si>
  <si>
    <t>OMII</t>
  </si>
  <si>
    <t>OMIP</t>
  </si>
  <si>
    <t>OM</t>
  </si>
  <si>
    <t>ISF</t>
  </si>
  <si>
    <t>ISTR</t>
  </si>
  <si>
    <t>CFP</t>
  </si>
  <si>
    <t>CFB</t>
  </si>
  <si>
    <t>CFL</t>
  </si>
  <si>
    <t>CFC</t>
  </si>
  <si>
    <t>GI</t>
  </si>
  <si>
    <t>GE</t>
  </si>
  <si>
    <t>TC</t>
  </si>
  <si>
    <t>TA</t>
  </si>
  <si>
    <t>TCf</t>
  </si>
  <si>
    <t>TCt</t>
  </si>
  <si>
    <t>Study</t>
  </si>
  <si>
    <t>Smith et al. (2006)</t>
  </si>
  <si>
    <t>Lamas et al. (2014)</t>
  </si>
  <si>
    <t>Allen et al. (2015)</t>
  </si>
  <si>
    <t>Paxton et al. (2010)</t>
  </si>
  <si>
    <t>Dromaius novaehollandiae</t>
  </si>
  <si>
    <t>Eudromia elegans</t>
  </si>
  <si>
    <t>Crocodylus niloticus</t>
  </si>
  <si>
    <t>Crocodylus johnstoni</t>
  </si>
  <si>
    <t>Alligator mississippiensis</t>
  </si>
  <si>
    <t>Osteolaemus tetraspis</t>
  </si>
  <si>
    <t>Melanosuchus niger</t>
  </si>
  <si>
    <t>Body mass (kg)</t>
  </si>
  <si>
    <t>Muscle mass (kg)</t>
  </si>
  <si>
    <t>Pennation (°)</t>
  </si>
  <si>
    <t>Gallus gallus (wild junglefowl)</t>
  </si>
  <si>
    <r>
      <t>PCSA (m</t>
    </r>
    <r>
      <rPr>
        <b/>
        <vertAlign val="super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)</t>
    </r>
  </si>
  <si>
    <t>Varanus komodoensis</t>
  </si>
  <si>
    <t>Varanus panoptes</t>
  </si>
  <si>
    <t>Varanus varius</t>
  </si>
  <si>
    <t>FTI_d</t>
  </si>
  <si>
    <t>FTI_s</t>
  </si>
  <si>
    <t>GAST</t>
  </si>
  <si>
    <t>PIT</t>
  </si>
  <si>
    <t>Varanus tristis</t>
  </si>
  <si>
    <t>iliotibialis</t>
  </si>
  <si>
    <t>ambiens (d)</t>
  </si>
  <si>
    <t>ambiens (v)</t>
  </si>
  <si>
    <t>femorotibialis</t>
  </si>
  <si>
    <t>adductor femoris</t>
  </si>
  <si>
    <t>PIFE+I</t>
  </si>
  <si>
    <t>PUT</t>
  </si>
  <si>
    <t>FB</t>
  </si>
  <si>
    <t>FTI4</t>
  </si>
  <si>
    <t>FTI1</t>
  </si>
  <si>
    <t>FTI2</t>
  </si>
  <si>
    <t>PIFE3</t>
  </si>
  <si>
    <t>FCLA</t>
  </si>
  <si>
    <t>Canis familiaris</t>
  </si>
  <si>
    <t>gluteus superficialis</t>
  </si>
  <si>
    <t>gluteus profundus</t>
  </si>
  <si>
    <t>semimembranosus</t>
  </si>
  <si>
    <t>adductors</t>
  </si>
  <si>
    <t>gracilis</t>
  </si>
  <si>
    <t>sartorius</t>
  </si>
  <si>
    <t>vastus lateralis</t>
  </si>
  <si>
    <t>vastus medialis</t>
  </si>
  <si>
    <t>vastus intermedius</t>
  </si>
  <si>
    <t>rectus femoris</t>
  </si>
  <si>
    <t>gastrocnemius lateralis</t>
  </si>
  <si>
    <t>gastrocnemius medialis</t>
  </si>
  <si>
    <t>tibialis cranialis</t>
  </si>
  <si>
    <t>peroneus longus</t>
  </si>
  <si>
    <t>flexor digitorum profundus</t>
  </si>
  <si>
    <t>flexor digitorum superficialis</t>
  </si>
  <si>
    <t>Ellis et al. (2018)</t>
  </si>
  <si>
    <t>adductor brevis</t>
  </si>
  <si>
    <t>adductor magnus</t>
  </si>
  <si>
    <t>gluteus medius</t>
  </si>
  <si>
    <t>iliopsoas</t>
  </si>
  <si>
    <t>obturator internus</t>
  </si>
  <si>
    <t>obturator externus</t>
  </si>
  <si>
    <t>pectineus</t>
  </si>
  <si>
    <t>quadratus femoris</t>
  </si>
  <si>
    <t>tensor fascia lata</t>
  </si>
  <si>
    <t>biceps femoris (a)</t>
  </si>
  <si>
    <t>biceps femoris (b)</t>
  </si>
  <si>
    <t>sartorius caudalis</t>
  </si>
  <si>
    <t>sartorius cranialis</t>
  </si>
  <si>
    <t>semitendinosus</t>
  </si>
  <si>
    <t>vastus lat. + inter.</t>
  </si>
  <si>
    <t>flexor digitorum longus</t>
  </si>
  <si>
    <t>extensor digitorum lateralis</t>
  </si>
  <si>
    <t>extensor digitorum longus</t>
  </si>
  <si>
    <t>Mus musculus</t>
  </si>
  <si>
    <t>Charles et al. (2016)</t>
  </si>
  <si>
    <t>gluteus maximus</t>
  </si>
  <si>
    <t>gemellus</t>
  </si>
  <si>
    <t>adductor longus</t>
  </si>
  <si>
    <t>gracilis (p)</t>
  </si>
  <si>
    <t>gracilis (a)</t>
  </si>
  <si>
    <t>psoas major</t>
  </si>
  <si>
    <t>psoas minor</t>
  </si>
  <si>
    <t>iliacus</t>
  </si>
  <si>
    <t>caudofemoralis</t>
  </si>
  <si>
    <t>biceps femoris (p)</t>
  </si>
  <si>
    <t>popliteus</t>
  </si>
  <si>
    <t>tibialis anterior</t>
  </si>
  <si>
    <t>extensor hallucis longus</t>
  </si>
  <si>
    <t>soleus</t>
  </si>
  <si>
    <t>plantaris</t>
  </si>
  <si>
    <t>tibialis posterior</t>
  </si>
  <si>
    <t>peroneus brevis</t>
  </si>
  <si>
    <t>peroneus tertius</t>
  </si>
  <si>
    <t>peroneus digit quarti</t>
  </si>
  <si>
    <t>peroneus digiti quinti</t>
  </si>
  <si>
    <t>Equus caballus</t>
  </si>
  <si>
    <t>Payne et al. (2005)</t>
  </si>
  <si>
    <t>gluteus medialis</t>
  </si>
  <si>
    <t>biceps femoris (intermediate head)</t>
  </si>
  <si>
    <t>biceps femoris (vertebral head)</t>
  </si>
  <si>
    <t>biceps femoris (caudal head)</t>
  </si>
  <si>
    <t>semitendinosus (vertebral head)</t>
  </si>
  <si>
    <t>semitendinosus (pelvic head)</t>
  </si>
  <si>
    <t>flexor digitorum medialis</t>
  </si>
  <si>
    <t>flexor digitorum lateralis</t>
  </si>
  <si>
    <t>tibialis caudalis</t>
  </si>
  <si>
    <t>Cuff et al. (2016)</t>
  </si>
  <si>
    <t>BicepsFem</t>
  </si>
  <si>
    <t>CaudoFem</t>
  </si>
  <si>
    <t>Sartorius</t>
  </si>
  <si>
    <t>TFL</t>
  </si>
  <si>
    <t>VastLat</t>
  </si>
  <si>
    <t>RectFem</t>
  </si>
  <si>
    <t>VastMed</t>
  </si>
  <si>
    <t>VastInt</t>
  </si>
  <si>
    <t>Semitend</t>
  </si>
  <si>
    <t>Semimemb</t>
  </si>
  <si>
    <t>Gracilis</t>
  </si>
  <si>
    <t>GlutSup</t>
  </si>
  <si>
    <t>GlutMed</t>
  </si>
  <si>
    <t>GlutProf</t>
  </si>
  <si>
    <t>Piriformis</t>
  </si>
  <si>
    <t>Gemelli</t>
  </si>
  <si>
    <t>Quadfem</t>
  </si>
  <si>
    <t>ObtExt</t>
  </si>
  <si>
    <t>ObtInt</t>
  </si>
  <si>
    <t>Pectineus</t>
  </si>
  <si>
    <t>AdducMag</t>
  </si>
  <si>
    <t>AdducBrev</t>
  </si>
  <si>
    <t>PsoasMaj</t>
  </si>
  <si>
    <t>PsoasMin</t>
  </si>
  <si>
    <t>GastrocLat</t>
  </si>
  <si>
    <t>GastrocMed</t>
  </si>
  <si>
    <t>SupDigFlex</t>
  </si>
  <si>
    <t>Soleus</t>
  </si>
  <si>
    <t>LongDigExt</t>
  </si>
  <si>
    <t>TibCran</t>
  </si>
  <si>
    <t>Popliteus</t>
  </si>
  <si>
    <t>LatDigExt</t>
  </si>
  <si>
    <t>PeronLong</t>
  </si>
  <si>
    <t>PeronBrev</t>
  </si>
  <si>
    <t>DDFM</t>
  </si>
  <si>
    <t>DDFL</t>
  </si>
  <si>
    <t>CaudalTib</t>
  </si>
  <si>
    <t>Felis silvestris</t>
  </si>
  <si>
    <t>Leopardus pardalis</t>
  </si>
  <si>
    <t>Caracal caracal</t>
  </si>
  <si>
    <t>Panthera uncia</t>
  </si>
  <si>
    <t>Panthera onca</t>
  </si>
  <si>
    <t>Panthera tigris</t>
  </si>
  <si>
    <t>Panthera leo</t>
  </si>
  <si>
    <t>Williams et al. (2007)</t>
  </si>
  <si>
    <t>biceps femoris (v)</t>
  </si>
  <si>
    <t>Iliacus</t>
  </si>
  <si>
    <t>peroneus quartus</t>
  </si>
  <si>
    <t>vastus intermedius (1)</t>
  </si>
  <si>
    <t>vastus intermedius (2)</t>
  </si>
  <si>
    <t>Homo sapiens</t>
  </si>
  <si>
    <t>addbrev_r</t>
  </si>
  <si>
    <t>addlong_r</t>
  </si>
  <si>
    <t>addmagDist_r</t>
  </si>
  <si>
    <t>addmagIsch_r</t>
  </si>
  <si>
    <t>addmagMid_r</t>
  </si>
  <si>
    <t>addmagProx_r</t>
  </si>
  <si>
    <t>bflh_r</t>
  </si>
  <si>
    <t>bfsh_r</t>
  </si>
  <si>
    <t>edl_r</t>
  </si>
  <si>
    <t>ehl_r</t>
  </si>
  <si>
    <t>fdl_r</t>
  </si>
  <si>
    <t>fhl_r</t>
  </si>
  <si>
    <t>gaslat_r</t>
  </si>
  <si>
    <t>gasmed_r</t>
  </si>
  <si>
    <t>glmax1_r</t>
  </si>
  <si>
    <t>glmax2_r</t>
  </si>
  <si>
    <t>glmax3_r</t>
  </si>
  <si>
    <t>glmed1_r</t>
  </si>
  <si>
    <t>glmed2_r</t>
  </si>
  <si>
    <t>glmed3_r</t>
  </si>
  <si>
    <t>glmin1_r</t>
  </si>
  <si>
    <t>glmin2_r</t>
  </si>
  <si>
    <t>glmin3_r</t>
  </si>
  <si>
    <t>grac_r</t>
  </si>
  <si>
    <t>iliacus_r</t>
  </si>
  <si>
    <t>perbrev_r</t>
  </si>
  <si>
    <t>perlong_r</t>
  </si>
  <si>
    <t>piri_r</t>
  </si>
  <si>
    <t>psoas_r</t>
  </si>
  <si>
    <t>recfem_r</t>
  </si>
  <si>
    <t>sart_r</t>
  </si>
  <si>
    <t>semimem_r</t>
  </si>
  <si>
    <t>semiten_r</t>
  </si>
  <si>
    <t>soleus_r</t>
  </si>
  <si>
    <t>tfl_r</t>
  </si>
  <si>
    <t>tibant_r</t>
  </si>
  <si>
    <t>tibpost_r</t>
  </si>
  <si>
    <t>vasint_r</t>
  </si>
  <si>
    <t>vaslat_r</t>
  </si>
  <si>
    <t>vasmed_r</t>
  </si>
  <si>
    <t>Rajagopal et al. (2016)</t>
  </si>
  <si>
    <t>PP</t>
  </si>
  <si>
    <t>Rangifer tarandus</t>
  </si>
  <si>
    <t>m. adductor brevis</t>
  </si>
  <si>
    <t>m. adductor longus</t>
  </si>
  <si>
    <t>m. adductor magnus</t>
  </si>
  <si>
    <t>m. extensor digitorum lateralis</t>
  </si>
  <si>
    <t>m. extensor digitorum longus lateral head</t>
  </si>
  <si>
    <t>m. extensor digitorum longus medial head</t>
  </si>
  <si>
    <t>m. flexor digiti I longus</t>
  </si>
  <si>
    <t>m. flexor digitorum longus</t>
  </si>
  <si>
    <t>m. flexor digitorum superficialis</t>
  </si>
  <si>
    <t>m. gastrocnemius lateral head</t>
  </si>
  <si>
    <t>m. gastrocnemius medial head</t>
  </si>
  <si>
    <t>m. gemelli caudal head</t>
  </si>
  <si>
    <t>m. gemelli dorsal head</t>
  </si>
  <si>
    <t>m. gluteobiceps caudal head</t>
  </si>
  <si>
    <t>m. gluteobiceps cranial head</t>
  </si>
  <si>
    <t>m. gluteus medius caudal head</t>
  </si>
  <si>
    <t>m. gluteus medius cranial head</t>
  </si>
  <si>
    <t>m. gluteus profundus</t>
  </si>
  <si>
    <t>m. gracilis</t>
  </si>
  <si>
    <t>m. obturator externus</t>
  </si>
  <si>
    <t>m. peroneus longus</t>
  </si>
  <si>
    <t>m. peroneus tertius</t>
  </si>
  <si>
    <t>m. popliteus</t>
  </si>
  <si>
    <t>m. psoas major</t>
  </si>
  <si>
    <t>m. quadratus femoris</t>
  </si>
  <si>
    <t>m. rectus femoris</t>
  </si>
  <si>
    <t>m. sartorius caudal part</t>
  </si>
  <si>
    <t>m. sartorius cranial part</t>
  </si>
  <si>
    <t>m. semimembranosus</t>
  </si>
  <si>
    <t>m. semitendinosus</t>
  </si>
  <si>
    <t>m. tensor fasciae latae caudal head</t>
  </si>
  <si>
    <t>m. tensor fasciae latae cranial head</t>
  </si>
  <si>
    <t>m. tibialis caudalis</t>
  </si>
  <si>
    <t>m. tibialis cranialis</t>
  </si>
  <si>
    <t>m. vastus intermedius</t>
  </si>
  <si>
    <t>m. vastus lateralis</t>
  </si>
  <si>
    <t>m. vastus medialis</t>
  </si>
  <si>
    <t>Wareing et al. (2011)</t>
  </si>
  <si>
    <t>Ceratotherium simum</t>
  </si>
  <si>
    <t>Etienne et al. (2021)</t>
  </si>
  <si>
    <t>Gluteus superficialis</t>
  </si>
  <si>
    <t>Gluteus medialis</t>
  </si>
  <si>
    <t>Gluteus profundus</t>
  </si>
  <si>
    <t>Obturator et gemelli</t>
  </si>
  <si>
    <t>Tensor fasciae latae</t>
  </si>
  <si>
    <t>Gluteobiceps</t>
  </si>
  <si>
    <t>Gluteobiceps - caudal head</t>
  </si>
  <si>
    <t>Gluteobiceps - cranial head</t>
  </si>
  <si>
    <t>Semimembranosus</t>
  </si>
  <si>
    <t>Semitendinosus</t>
  </si>
  <si>
    <t>Semitendinosus - 1</t>
  </si>
  <si>
    <t>Semitendinosus - 2 pennate</t>
  </si>
  <si>
    <t>Semitendinosus - 2 non-pennate</t>
  </si>
  <si>
    <t>Psoas major</t>
  </si>
  <si>
    <t>Psoas minor</t>
  </si>
  <si>
    <t>Rectus femoris</t>
  </si>
  <si>
    <t>Vastus lateralis</t>
  </si>
  <si>
    <t>Vastus medialis</t>
  </si>
  <si>
    <t>Sartorius - caudal head</t>
  </si>
  <si>
    <t>Sartorius - cranial head</t>
  </si>
  <si>
    <t>Pectineus - large head</t>
  </si>
  <si>
    <t>Pectineus - small head</t>
  </si>
  <si>
    <t>Adductores</t>
  </si>
  <si>
    <t>Gastrocnemius caput laterale</t>
  </si>
  <si>
    <t>Gastrocnemius caput mediale</t>
  </si>
  <si>
    <t>Tibialis cranialis</t>
  </si>
  <si>
    <t>Extensor digitorum longus</t>
  </si>
  <si>
    <t>Extensor digitorum longus - medial belly</t>
  </si>
  <si>
    <t>Extensor digitorum longus - lateral belly</t>
  </si>
  <si>
    <t>Extensor digitorum lateralis (Hindlimb)</t>
  </si>
  <si>
    <t>Flexor digitorum superficialis (Forelimb)</t>
  </si>
  <si>
    <t>Flexor digitorum profundus (Forelimb)</t>
  </si>
  <si>
    <t>Fibularis 1 (homologies unclear)</t>
  </si>
  <si>
    <t>Fibularis 2 (homologies unclear)</t>
  </si>
  <si>
    <t>Flexor digitorum profundus</t>
  </si>
  <si>
    <t xml:space="preserve">Extensor digitorum lateralis </t>
  </si>
  <si>
    <t>Rhinoceros unicornis</t>
  </si>
  <si>
    <t>Vastus intermedius</t>
  </si>
  <si>
    <t>Adductor longus</t>
  </si>
  <si>
    <t>Adductor magnus</t>
  </si>
  <si>
    <t>Adductor brevis</t>
  </si>
  <si>
    <t>Rattus norvegicus</t>
  </si>
  <si>
    <t>Psoas</t>
  </si>
  <si>
    <t>Gluteus medius</t>
  </si>
  <si>
    <t>"Muscle X"</t>
  </si>
  <si>
    <t>Gracilis - cranial head</t>
  </si>
  <si>
    <t>Gracilis - caudal head</t>
  </si>
  <si>
    <t>Adductor tertius</t>
  </si>
  <si>
    <t>Biceps femoris</t>
  </si>
  <si>
    <t>Tibialis anterior</t>
  </si>
  <si>
    <t>Extensor hallucis longus</t>
  </si>
  <si>
    <t>Peroneus longus</t>
  </si>
  <si>
    <t>Peroneus brevis</t>
  </si>
  <si>
    <t>Gastrocnemius MH</t>
  </si>
  <si>
    <t>Gastrocnemius LH</t>
  </si>
  <si>
    <t>Flexor hallucis longus</t>
  </si>
  <si>
    <t>Flexor digitorum longus</t>
  </si>
  <si>
    <t>Plantaris</t>
  </si>
  <si>
    <t>Eng et al. (2008)</t>
  </si>
  <si>
    <t>Notes</t>
  </si>
  <si>
    <t>Largest individual studied</t>
  </si>
  <si>
    <t>Mean across sample in study</t>
  </si>
  <si>
    <t>Dick and Clemente (2016)</t>
  </si>
  <si>
    <t>POP</t>
  </si>
  <si>
    <t>Salvator merianae</t>
  </si>
  <si>
    <t>This study</t>
  </si>
  <si>
    <t>Gravid female; mass of eggs weighed separately and subtracted from total body mass to yield the mass reported here</t>
  </si>
  <si>
    <t>Pennation not explicitly reported, but study used pennation in calculating PCSA</t>
  </si>
  <si>
    <t>Didelphis virginiana</t>
  </si>
  <si>
    <t>PLA</t>
  </si>
  <si>
    <t>PL</t>
  </si>
  <si>
    <t>ABR</t>
  </si>
  <si>
    <t>BB</t>
  </si>
  <si>
    <t>BR</t>
  </si>
  <si>
    <t>CBD</t>
  </si>
  <si>
    <t>CBV</t>
  </si>
  <si>
    <t>DC</t>
  </si>
  <si>
    <t>DS</t>
  </si>
  <si>
    <t>ECR_B</t>
  </si>
  <si>
    <t>ECR_L</t>
  </si>
  <si>
    <t>ECU_L</t>
  </si>
  <si>
    <t>FCU</t>
  </si>
  <si>
    <t>FDL_1</t>
  </si>
  <si>
    <t>FDL_2</t>
  </si>
  <si>
    <t>FUL</t>
  </si>
  <si>
    <t>HR</t>
  </si>
  <si>
    <t>LD</t>
  </si>
  <si>
    <t>PEC</t>
  </si>
  <si>
    <t>PQ</t>
  </si>
  <si>
    <t>PT</t>
  </si>
  <si>
    <t>SC</t>
  </si>
  <si>
    <t>SHC</t>
  </si>
  <si>
    <t>SS</t>
  </si>
  <si>
    <t>SUP</t>
  </si>
  <si>
    <t>TB</t>
  </si>
  <si>
    <t>TLL</t>
  </si>
  <si>
    <t>TLM</t>
  </si>
  <si>
    <t>TM</t>
  </si>
  <si>
    <t>Largest individual studied, CBD not measured</t>
  </si>
  <si>
    <t>Largest individual studied, ABR not measured</t>
  </si>
  <si>
    <t>Largest individual studied, HR not measured</t>
  </si>
  <si>
    <t>Data for most completely studied individual</t>
  </si>
  <si>
    <t>Cieri et al. (2020)</t>
  </si>
  <si>
    <t>LatDorsi</t>
  </si>
  <si>
    <t>PecAnt</t>
  </si>
  <si>
    <t>PecMed</t>
  </si>
  <si>
    <t>PecPost</t>
  </si>
  <si>
    <t>DeltScap</t>
  </si>
  <si>
    <t>DeltClav</t>
  </si>
  <si>
    <t>ScaphHumAnt</t>
  </si>
  <si>
    <t>ScaphHumPost</t>
  </si>
  <si>
    <t>Supracor</t>
  </si>
  <si>
    <t>CoracoBrev</t>
  </si>
  <si>
    <t>CoracoLong</t>
  </si>
  <si>
    <t>BicL</t>
  </si>
  <si>
    <t>BicS</t>
  </si>
  <si>
    <t>Brach</t>
  </si>
  <si>
    <t>TriLat</t>
  </si>
  <si>
    <t>TriLong</t>
  </si>
  <si>
    <t>TriMed</t>
  </si>
  <si>
    <t>ProTer</t>
  </si>
  <si>
    <t>FlexCarpRad</t>
  </si>
  <si>
    <t>FlexCarpUln</t>
  </si>
  <si>
    <t>FlexDigLong</t>
  </si>
  <si>
    <t>ExtCarpRad</t>
  </si>
  <si>
    <t>ExtCarpUln</t>
  </si>
  <si>
    <t>ExtDigLong</t>
  </si>
  <si>
    <t>Williams et al. (2008)</t>
  </si>
  <si>
    <t>PD</t>
  </si>
  <si>
    <t>PTV</t>
  </si>
  <si>
    <t>SSP</t>
  </si>
  <si>
    <t>ISP</t>
  </si>
  <si>
    <t>DA</t>
  </si>
  <si>
    <t>BRA</t>
  </si>
  <si>
    <t>CB</t>
  </si>
  <si>
    <t>TMJ</t>
  </si>
  <si>
    <t>TMN</t>
  </si>
  <si>
    <t>TBLA</t>
  </si>
  <si>
    <t>TBLO</t>
  </si>
  <si>
    <t>TBM</t>
  </si>
  <si>
    <t>TBA</t>
  </si>
  <si>
    <t>AN</t>
  </si>
  <si>
    <t>ECR</t>
  </si>
  <si>
    <t>ECU</t>
  </si>
  <si>
    <t>EDC</t>
  </si>
  <si>
    <t>EDLA</t>
  </si>
  <si>
    <t>APL</t>
  </si>
  <si>
    <t>FCR</t>
  </si>
  <si>
    <t>FDP</t>
  </si>
  <si>
    <t>FDS</t>
  </si>
  <si>
    <t xml:space="preserve">Anconeus   </t>
  </si>
  <si>
    <t xml:space="preserve">Abductor policis longus </t>
  </si>
  <si>
    <t xml:space="preserve">Biceps brachii  </t>
  </si>
  <si>
    <t xml:space="preserve">Brachialis   </t>
  </si>
  <si>
    <t xml:space="preserve">Brachiocephalicus   </t>
  </si>
  <si>
    <t xml:space="preserve">Deltoid (acromial head) </t>
  </si>
  <si>
    <t xml:space="preserve">Deltoid (scapular head) </t>
  </si>
  <si>
    <t xml:space="preserve">Extensor carpi radialis </t>
  </si>
  <si>
    <t xml:space="preserve">Extensor carpi ulnaris </t>
  </si>
  <si>
    <t xml:space="preserve">Extensor digitorum communis </t>
  </si>
  <si>
    <t>Extensor digitorum lateralis (quarti)</t>
  </si>
  <si>
    <t>Extensor digitorum lateralis (quinti)</t>
  </si>
  <si>
    <t xml:space="preserve">Flexor carpi radialis </t>
  </si>
  <si>
    <t xml:space="preserve">Flexor carpi ulnaris </t>
  </si>
  <si>
    <t xml:space="preserve">FDP (humeral head)  </t>
  </si>
  <si>
    <t xml:space="preserve">FDP (middle head)  </t>
  </si>
  <si>
    <t xml:space="preserve">FDP (radial head)  </t>
  </si>
  <si>
    <t xml:space="preserve">FDP (ulnar head)  </t>
  </si>
  <si>
    <t xml:space="preserve">Flexor digitorum superficialis </t>
  </si>
  <si>
    <t xml:space="preserve">Infraspinatus   </t>
  </si>
  <si>
    <t xml:space="preserve">Latissimus dorsi  </t>
  </si>
  <si>
    <t xml:space="preserve">Pectoralis descedens  </t>
  </si>
  <si>
    <t xml:space="preserve">Pectoralis profundus  </t>
  </si>
  <si>
    <t xml:space="preserve">Pectoralis transvs.  </t>
  </si>
  <si>
    <t xml:space="preserve">Subscapularis   </t>
  </si>
  <si>
    <t xml:space="preserve">Supraspinatus   </t>
  </si>
  <si>
    <t>Triceps brachii (lateral head)</t>
  </si>
  <si>
    <t xml:space="preserve">Triceps brachii (long head)  </t>
  </si>
  <si>
    <t xml:space="preserve">Triceps brachii (medial head)  </t>
  </si>
  <si>
    <t xml:space="preserve">Teres major  </t>
  </si>
  <si>
    <t>Scalopus aquaticus</t>
  </si>
  <si>
    <t>Latissimus dorsi</t>
  </si>
  <si>
    <t>Rose et al. (2013)</t>
  </si>
  <si>
    <t>Teres major</t>
  </si>
  <si>
    <t>Pectoral complex</t>
  </si>
  <si>
    <t>Subscapularis</t>
  </si>
  <si>
    <t xml:space="preserve">Teres minor  </t>
  </si>
  <si>
    <t xml:space="preserve">Deltoid   </t>
  </si>
  <si>
    <t xml:space="preserve">Epitrochlearis   </t>
  </si>
  <si>
    <t xml:space="preserve">Triceps brachii-long head </t>
  </si>
  <si>
    <t xml:space="preserve">Triceps brachii-medial head </t>
  </si>
  <si>
    <t xml:space="preserve">Triceps brachii-lateral head </t>
  </si>
  <si>
    <t>Biceps brachii</t>
  </si>
  <si>
    <t xml:space="preserve">Pronator teres  </t>
  </si>
  <si>
    <t xml:space="preserve">Palmaris longus  </t>
  </si>
  <si>
    <t>Flexor digitorum superficialis</t>
  </si>
  <si>
    <t xml:space="preserve">Flexor digitorum profundus </t>
  </si>
  <si>
    <t>Extensor carpi radialis</t>
  </si>
  <si>
    <t>Extensor pollicis et indicis</t>
  </si>
  <si>
    <t>Extensor digiti quinti proprius</t>
  </si>
  <si>
    <t>anconeus</t>
  </si>
  <si>
    <t>articularis humeri</t>
  </si>
  <si>
    <t>biceps brachii</t>
  </si>
  <si>
    <t>brachialis</t>
  </si>
  <si>
    <t>cleidobrachialis</t>
  </si>
  <si>
    <t>coracobrachialis</t>
  </si>
  <si>
    <t>deltoideus pars acromialis</t>
  </si>
  <si>
    <t>deltoideus pars scapularis</t>
  </si>
  <si>
    <t>extensor carpi obliquus</t>
  </si>
  <si>
    <t>extensor carpi radialis caudal head</t>
  </si>
  <si>
    <t>extensor carpi radialis cranial head</t>
  </si>
  <si>
    <t>extensor digiti II</t>
  </si>
  <si>
    <t>extensor digitorum communis</t>
  </si>
  <si>
    <t>flexor carpi radialis</t>
  </si>
  <si>
    <t>flexor carpi ulnaris</t>
  </si>
  <si>
    <t>flexor digitorum profundus humeral deep head</t>
  </si>
  <si>
    <t>flexor digitorum profundus humeral medial head</t>
  </si>
  <si>
    <t>flexor digitorum profundus humeral superficial head</t>
  </si>
  <si>
    <t>flexor digitorum profundus radial portion</t>
  </si>
  <si>
    <t>flexor digitorum profundus ulnar portion</t>
  </si>
  <si>
    <t>infraspinatus</t>
  </si>
  <si>
    <t>latissimus dorsi dorsal head</t>
  </si>
  <si>
    <t>latissimus dorsi ventral head</t>
  </si>
  <si>
    <t>pectoralis profundus</t>
  </si>
  <si>
    <t>pectoralis superficialis descendens</t>
  </si>
  <si>
    <t>pectoralis superficialis transversus</t>
  </si>
  <si>
    <t>subscapularis</t>
  </si>
  <si>
    <t>supraspinatus</t>
  </si>
  <si>
    <t>tensor fasciae antebrachii</t>
  </si>
  <si>
    <t>teres major</t>
  </si>
  <si>
    <t>teres minor</t>
  </si>
  <si>
    <t>triceps brachii accessory head</t>
  </si>
  <si>
    <t xml:space="preserve">triceps brachii lateral head </t>
  </si>
  <si>
    <t xml:space="preserve">triceps brachii long head </t>
  </si>
  <si>
    <t xml:space="preserve">triceps brachii medial head </t>
  </si>
  <si>
    <t>ulnaris lateralis</t>
  </si>
  <si>
    <t>Martes martes</t>
  </si>
  <si>
    <t>PAB</t>
  </si>
  <si>
    <t>Bohmer et al. (2018)</t>
  </si>
  <si>
    <t>PMJ</t>
  </si>
  <si>
    <t>XH</t>
  </si>
  <si>
    <t>PMN</t>
  </si>
  <si>
    <t>LAT</t>
  </si>
  <si>
    <t>TBMS</t>
  </si>
  <si>
    <t>AH</t>
  </si>
  <si>
    <t>EPI</t>
  </si>
  <si>
    <t>SUB</t>
  </si>
  <si>
    <t>ANC</t>
  </si>
  <si>
    <t>EI</t>
  </si>
  <si>
    <t>EP</t>
  </si>
  <si>
    <t>ECRL</t>
  </si>
  <si>
    <t>ECRB</t>
  </si>
  <si>
    <t>BCR</t>
  </si>
  <si>
    <t>FCUH</t>
  </si>
  <si>
    <t>FCUU</t>
  </si>
  <si>
    <t>BCH</t>
  </si>
  <si>
    <t>Bradypus variegatus</t>
  </si>
  <si>
    <t>Olson et al. (2017)</t>
  </si>
  <si>
    <t>PSA</t>
  </si>
  <si>
    <t>PSP</t>
  </si>
  <si>
    <t>PPA</t>
  </si>
  <si>
    <t>PPP</t>
  </si>
  <si>
    <t>DELT</t>
  </si>
  <si>
    <t>CCB</t>
  </si>
  <si>
    <t>CLB</t>
  </si>
  <si>
    <t>BBL</t>
  </si>
  <si>
    <t>BBS</t>
  </si>
  <si>
    <t>TBMA</t>
  </si>
  <si>
    <t>TFA</t>
  </si>
  <si>
    <t>PTL</t>
  </si>
  <si>
    <t>FDPHM</t>
  </si>
  <si>
    <t>FDPHC</t>
  </si>
  <si>
    <t>FDPR</t>
  </si>
  <si>
    <t>FDPU</t>
  </si>
  <si>
    <t>AD1L</t>
  </si>
  <si>
    <t>ED2</t>
  </si>
  <si>
    <t>Cleidobrachialis</t>
  </si>
  <si>
    <t>Pectoralis superficialis</t>
  </si>
  <si>
    <t>Pectoralis profundus</t>
  </si>
  <si>
    <t>Supraspinatus</t>
  </si>
  <si>
    <t>Infraspinatus</t>
  </si>
  <si>
    <t>Deltoideus acromion</t>
  </si>
  <si>
    <t>Deltoideus spinous</t>
  </si>
  <si>
    <t>Teres minor</t>
  </si>
  <si>
    <t>Coracobrachialis</t>
  </si>
  <si>
    <t>Triceps longus</t>
  </si>
  <si>
    <t>Triceps lateralis</t>
  </si>
  <si>
    <t>Triceps medius</t>
  </si>
  <si>
    <t>Triceps accessory</t>
  </si>
  <si>
    <t>Brachialis</t>
  </si>
  <si>
    <t>Anconeus</t>
  </si>
  <si>
    <t>Ext. carpi radialis</t>
  </si>
  <si>
    <t>Ext. digitorum communis</t>
  </si>
  <si>
    <t>Ext. digitorum lateralis</t>
  </si>
  <si>
    <t>Ext. carpi ulnaris</t>
  </si>
  <si>
    <t>Flex. carpi ulnaris ulnar</t>
  </si>
  <si>
    <t>Flex. carpi ulnaris humeral</t>
  </si>
  <si>
    <t>Brachioradialis</t>
  </si>
  <si>
    <t>Supinator</t>
  </si>
  <si>
    <t>Pronator teres</t>
  </si>
  <si>
    <t>Pronator quadratus</t>
  </si>
  <si>
    <t>Flex. carpi radialis</t>
  </si>
  <si>
    <t>Flex. digitorum complex</t>
  </si>
  <si>
    <t>Abd. Dig. 1</t>
  </si>
  <si>
    <t>Isoodon fusciventer</t>
  </si>
  <si>
    <t>M. latissimus dorsi</t>
  </si>
  <si>
    <t>Martin et al. (2019)</t>
  </si>
  <si>
    <t>Mm. pectorales</t>
  </si>
  <si>
    <t>M. deltoideus</t>
  </si>
  <si>
    <t>M. supraspinatus</t>
  </si>
  <si>
    <t>M. infraspinatus</t>
  </si>
  <si>
    <t>M. teres major</t>
  </si>
  <si>
    <t>M. subscapularis</t>
  </si>
  <si>
    <t>M. biceps brachii</t>
  </si>
  <si>
    <t>M. brachialis</t>
  </si>
  <si>
    <t>M. triceps brachii</t>
  </si>
  <si>
    <t>M. anconeus</t>
  </si>
  <si>
    <t>M. tensor fascia antebrachii</t>
  </si>
  <si>
    <t>M. pronators teres</t>
  </si>
  <si>
    <t>M. flexor carpi radialis</t>
  </si>
  <si>
    <t>M. flexor carpi ulnaris</t>
  </si>
  <si>
    <t>M. palmaris longus</t>
  </si>
  <si>
    <t>M. flexor digitorum superficialis</t>
  </si>
  <si>
    <t>M. flexor digitorum profundus</t>
  </si>
  <si>
    <t>M. pronator quadratus</t>
  </si>
  <si>
    <t>M. extensor carpi radialis</t>
  </si>
  <si>
    <t>M. extensor digitorum communis</t>
  </si>
  <si>
    <t>M. extensor digitorum lateralis</t>
  </si>
  <si>
    <t>M. extensor carpi ulnaris</t>
  </si>
  <si>
    <t>M. supinators</t>
  </si>
  <si>
    <t>M. abductor digiti I longus</t>
  </si>
  <si>
    <t>Brachiocephalicus</t>
  </si>
  <si>
    <t>Pectoralis descendens</t>
  </si>
  <si>
    <t>Pectoralis transversus</t>
  </si>
  <si>
    <t>Pectoralis ascendens + subclavius</t>
  </si>
  <si>
    <t>Deltoideus acromialis</t>
  </si>
  <si>
    <t>Deltoideus scapularis</t>
  </si>
  <si>
    <t>Biceps brachi</t>
  </si>
  <si>
    <t>Triceps caput longum</t>
  </si>
  <si>
    <t>Triceps caput laterale</t>
  </si>
  <si>
    <t>Triceps caput mediale</t>
  </si>
  <si>
    <t>Tensor fasciae antebrachiae</t>
  </si>
  <si>
    <t>Ulnaris lateralis</t>
  </si>
  <si>
    <t>Extensor carpi obliquus</t>
  </si>
  <si>
    <t>Extensor digitorum communis</t>
  </si>
  <si>
    <t>Extensor digitorum lateralis</t>
  </si>
  <si>
    <t>Flexor carpi radialis</t>
  </si>
  <si>
    <t>Flexor carpi ulnaris</t>
  </si>
  <si>
    <t>Flexor digitorum profundus - ulnar</t>
  </si>
  <si>
    <t>Flexor digitorum profundus - humeral</t>
  </si>
  <si>
    <t>Dasypus novemcinctus</t>
  </si>
  <si>
    <t>Olson et al. (2015)</t>
  </si>
  <si>
    <t>PS</t>
  </si>
  <si>
    <t>TBL</t>
  </si>
  <si>
    <t>FDS deep</t>
  </si>
  <si>
    <t>FDS superficial</t>
  </si>
  <si>
    <t>FDPHM/FDPU</t>
  </si>
  <si>
    <t>FDPHP</t>
  </si>
  <si>
    <t>AD5L</t>
  </si>
  <si>
    <t>Mean across sample in study; body mass reported by Regnault et al. (2020)</t>
  </si>
  <si>
    <t>Mean across adult sample in study</t>
  </si>
  <si>
    <t>Mean for two large adults (one male, one female)</t>
  </si>
  <si>
    <t>ambiens</t>
  </si>
  <si>
    <t>femorotibialis externus</t>
  </si>
  <si>
    <t>femorotibialis internus</t>
  </si>
  <si>
    <t>iliofemoralis</t>
  </si>
  <si>
    <t>puboischiofemoralis internus 1</t>
  </si>
  <si>
    <t>puboischiofemoralis internus 3</t>
  </si>
  <si>
    <t>puboischiofemoralis internus 2</t>
  </si>
  <si>
    <t>puboischiofemoralis externus - cranial head</t>
  </si>
  <si>
    <t>puboischiofemoralis externus - caudal head</t>
  </si>
  <si>
    <t>iliofibularis</t>
  </si>
  <si>
    <t>flexor tibialis internus 1</t>
  </si>
  <si>
    <t>flexor tibialis internus 2 (superficial)</t>
  </si>
  <si>
    <t>flexor tibialis internus 2 (deep)</t>
  </si>
  <si>
    <t>flexor tibialis externus</t>
  </si>
  <si>
    <t>puboischiotibialis</t>
  </si>
  <si>
    <t>pubotibialis</t>
  </si>
  <si>
    <t>ischiotrochantericus</t>
  </si>
  <si>
    <t>caudofemoralis longus</t>
  </si>
  <si>
    <t>caudofemoralis brevis</t>
  </si>
  <si>
    <t>gastrocnemius externus</t>
  </si>
  <si>
    <t>gastrocnemius internus</t>
  </si>
  <si>
    <t>extensor digotorum brevis</t>
  </si>
  <si>
    <t>pronator profundus</t>
  </si>
  <si>
    <t>interosseus cruris</t>
  </si>
  <si>
    <t>abductor digiti V</t>
  </si>
  <si>
    <t>femorococcygeus</t>
  </si>
  <si>
    <t>gluteus minimus</t>
  </si>
  <si>
    <t>pyriformis</t>
  </si>
  <si>
    <t>scansorius</t>
  </si>
  <si>
    <t>biceps femoris</t>
  </si>
  <si>
    <t>semitendinosus anterior head</t>
  </si>
  <si>
    <t>semitendinosus posterior head</t>
  </si>
  <si>
    <t>flexor digitorum brevis</t>
  </si>
  <si>
    <t>flexor hallucis longus</t>
  </si>
  <si>
    <t>extensor digitorum brevis</t>
  </si>
  <si>
    <t>peroneus digiti tertii</t>
  </si>
  <si>
    <t>popliteus + interosseus cruris</t>
  </si>
  <si>
    <t>latissimus dorsi</t>
  </si>
  <si>
    <t>pectoralis</t>
  </si>
  <si>
    <t>deltoideus scapularis</t>
  </si>
  <si>
    <t>deltoideus clavicularis</t>
  </si>
  <si>
    <t>scapulohumeralis anterior</t>
  </si>
  <si>
    <t>subcoracoideus</t>
  </si>
  <si>
    <t>supracoracoideus</t>
  </si>
  <si>
    <t>coracobrachialis brevis</t>
  </si>
  <si>
    <t>coracobrachialis longus</t>
  </si>
  <si>
    <t>triceps humeralis medialis</t>
  </si>
  <si>
    <t>triceps scapularis</t>
  </si>
  <si>
    <t>triceps humeralis lateralis</t>
  </si>
  <si>
    <t>pronator teres</t>
  </si>
  <si>
    <t>pronator accessorius</t>
  </si>
  <si>
    <t>flexor digitorum longus (humeral head 1)</t>
  </si>
  <si>
    <t>flexor digitorum longus (humeral head 2)</t>
  </si>
  <si>
    <t>flexor digitorum longus (ulnar head)</t>
  </si>
  <si>
    <t>epitrochleoanconaeus</t>
  </si>
  <si>
    <t>brachioradialis</t>
  </si>
  <si>
    <t>extensor carpi radialis</t>
  </si>
  <si>
    <t>pronator quadratus</t>
  </si>
  <si>
    <t xml:space="preserve">extensor carpi ulnaris </t>
  </si>
  <si>
    <t xml:space="preserve">abductor policis longus </t>
  </si>
  <si>
    <t>deltoideus spinalis</t>
  </si>
  <si>
    <t>deltoideus acromialis</t>
  </si>
  <si>
    <t>dorsoepitrochlearis</t>
  </si>
  <si>
    <t>supinator</t>
  </si>
  <si>
    <t>extensor carpi radialis longus</t>
  </si>
  <si>
    <t>extensor carpi radialis brevis</t>
  </si>
  <si>
    <t>extensor digitorum profundus I</t>
  </si>
  <si>
    <t>abductor pollicis longus</t>
  </si>
  <si>
    <t>anconaeus</t>
  </si>
  <si>
    <t>pronator terest</t>
  </si>
  <si>
    <t>flexor digitorum profunds (radial head)</t>
  </si>
  <si>
    <t>flexor digitorum profundus (humeral head 1)</t>
  </si>
  <si>
    <t>flexor digitorum profundus (humeral head 2)</t>
  </si>
  <si>
    <t>flexor digitorum profunds (ulnar head)</t>
  </si>
  <si>
    <t>flexor pollicis longus</t>
  </si>
  <si>
    <t>Proximal</t>
  </si>
  <si>
    <t>Proximal (no CFL)</t>
  </si>
  <si>
    <t>Distal</t>
  </si>
  <si>
    <r>
      <t>Mean PCSA (m</t>
    </r>
    <r>
      <rPr>
        <b/>
        <vertAlign val="super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)</t>
    </r>
  </si>
  <si>
    <t>Overall</t>
  </si>
  <si>
    <t>Location</t>
  </si>
  <si>
    <t>proximal</t>
  </si>
  <si>
    <t>distal</t>
  </si>
  <si>
    <t>FMTIM</t>
  </si>
  <si>
    <t>GIM</t>
  </si>
  <si>
    <t>ITC</t>
  </si>
  <si>
    <t>FPD II</t>
  </si>
  <si>
    <t>FPD III</t>
  </si>
  <si>
    <t>FPD IV</t>
  </si>
  <si>
    <t>FPPD II</t>
  </si>
  <si>
    <t>FPPD III</t>
  </si>
  <si>
    <t>Bishop et al. (2021)</t>
  </si>
  <si>
    <t>FP2</t>
  </si>
  <si>
    <t>FPP2</t>
  </si>
  <si>
    <t>FP3</t>
  </si>
  <si>
    <t>FPP3</t>
  </si>
  <si>
    <t>FP4</t>
  </si>
  <si>
    <t>FpII</t>
  </si>
  <si>
    <t>FppII</t>
  </si>
  <si>
    <t>FpIII</t>
  </si>
  <si>
    <t>FppIII</t>
  </si>
  <si>
    <t>FpIV</t>
  </si>
  <si>
    <r>
      <t>Total PCSA (m</t>
    </r>
    <r>
      <rPr>
        <b/>
        <vertAlign val="super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)</t>
    </r>
  </si>
  <si>
    <t>ilitibialis cranialis</t>
  </si>
  <si>
    <t>iliotibialis lateralis</t>
  </si>
  <si>
    <t>iliofemoralis externus</t>
  </si>
  <si>
    <t>femorotibialis medius</t>
  </si>
  <si>
    <t>femorotibialis accessorius</t>
  </si>
  <si>
    <t>iliotrochantericus caudalis</t>
  </si>
  <si>
    <t>iliotrochanterius cranialis</t>
  </si>
  <si>
    <t>iliofemoralis internus</t>
  </si>
  <si>
    <t>flexor cruris lateralis</t>
  </si>
  <si>
    <t>flexor cruris medialis</t>
  </si>
  <si>
    <t>pubo-ischio-femoralis</t>
  </si>
  <si>
    <t>obturatorius lateralis</t>
  </si>
  <si>
    <t>obturatorius medialis</t>
  </si>
  <si>
    <t>ischiofemoralis</t>
  </si>
  <si>
    <t>fibularis longus</t>
  </si>
  <si>
    <t>gastrocnemius - caudal</t>
  </si>
  <si>
    <t>gastrocnemius - medial</t>
  </si>
  <si>
    <t>gastrocnemius - lateral</t>
  </si>
  <si>
    <t>flexor perforans et perforatus digiti III</t>
  </si>
  <si>
    <t>flexor perforatus digiti IV</t>
  </si>
  <si>
    <t>flexor perforatus digiti III</t>
  </si>
  <si>
    <t>Tibialis posterior</t>
  </si>
  <si>
    <t xml:space="preserve">palmaris longus  </t>
  </si>
  <si>
    <t>Total muscle mass (kg)</t>
  </si>
  <si>
    <t xml:space="preserve">Lepus californicus </t>
  </si>
  <si>
    <t xml:space="preserve">Tupaia glis </t>
  </si>
  <si>
    <t>Macaca mulatta</t>
  </si>
  <si>
    <t xml:space="preserve">Macaca nemestrina </t>
  </si>
  <si>
    <t xml:space="preserve">Macaca nigra </t>
  </si>
  <si>
    <t xml:space="preserve">Galago senegalensis </t>
  </si>
  <si>
    <t xml:space="preserve">Otolemur crassicaudatus </t>
  </si>
  <si>
    <t xml:space="preserve">Perodicticus potto </t>
  </si>
  <si>
    <t xml:space="preserve">Nycticebus coucang </t>
  </si>
  <si>
    <t xml:space="preserve">Pan paniscus </t>
  </si>
  <si>
    <t>Payne et al. (2006)</t>
  </si>
  <si>
    <t>Grand (1977, specimen X)</t>
  </si>
  <si>
    <t>Grand (1977, specimen 6564)</t>
  </si>
  <si>
    <t>Grand (1977, specimen 673)</t>
  </si>
  <si>
    <t>Grand (1977, specimen 6660)</t>
  </si>
  <si>
    <t>Grand (1977, specimen 6600)</t>
  </si>
  <si>
    <t>Grand (1977, specimen 1545)</t>
  </si>
  <si>
    <t>Grand (1977, specimen 1300</t>
  </si>
  <si>
    <t>Grand (1977, specimen 707)</t>
  </si>
  <si>
    <t>Grand (1977, specimen 705)</t>
  </si>
  <si>
    <t>Overall (no CFL)</t>
  </si>
  <si>
    <t>Hudson et al. (2011a, sample mean)</t>
  </si>
  <si>
    <t>Hudson et al. (2011b, sample mean)</t>
  </si>
  <si>
    <t>Carlson (2006)</t>
  </si>
  <si>
    <t>Pan troglodytes</t>
  </si>
  <si>
    <t>adductor magnus (medius)</t>
  </si>
  <si>
    <t>adductor magnus (caudalis)</t>
  </si>
  <si>
    <t>biceps femoris (longum)</t>
  </si>
  <si>
    <t>biceps femoris (breve)</t>
  </si>
  <si>
    <t>piriformis</t>
  </si>
  <si>
    <t>gemellus superior</t>
  </si>
  <si>
    <t>gemellus inferior</t>
  </si>
  <si>
    <t>Zihlman et al. (2011)</t>
  </si>
  <si>
    <t>Gorilla gorilla</t>
  </si>
  <si>
    <t>Pongo pygmaeus</t>
  </si>
  <si>
    <t>Numida meleagris</t>
  </si>
  <si>
    <t>Cox et al. (2019)</t>
  </si>
  <si>
    <t>FTI</t>
  </si>
  <si>
    <t>FTM</t>
  </si>
  <si>
    <t>FTLP</t>
  </si>
  <si>
    <t>FTLD</t>
  </si>
  <si>
    <t>ITCR</t>
  </si>
  <si>
    <t>PIFM</t>
  </si>
  <si>
    <t>LG</t>
  </si>
  <si>
    <t>IG</t>
  </si>
  <si>
    <t>MG</t>
  </si>
  <si>
    <t xml:space="preserve">DFII_s </t>
  </si>
  <si>
    <t>DFII_d</t>
  </si>
  <si>
    <t>DFIII_s</t>
  </si>
  <si>
    <t xml:space="preserve">DFIII_d </t>
  </si>
  <si>
    <t>DFIV_s</t>
  </si>
  <si>
    <t>TC_t</t>
  </si>
  <si>
    <t>TC_f</t>
  </si>
  <si>
    <t>Characteristic fibre length (m)</t>
  </si>
  <si>
    <t>Tachyglossus aculeatus</t>
  </si>
  <si>
    <t>Acromiodeltoideus</t>
  </si>
  <si>
    <t>Biceps brachii brevis</t>
  </si>
  <si>
    <t>Biceps brachii longus</t>
  </si>
  <si>
    <t>Clavodeltoideus</t>
  </si>
  <si>
    <t>Coracobrachialis brevis</t>
  </si>
  <si>
    <t>Coracobrachialis longus</t>
  </si>
  <si>
    <t>Pectoralis</t>
  </si>
  <si>
    <t>Spinodeltoideus</t>
  </si>
  <si>
    <t>Subcoracoideus</t>
  </si>
  <si>
    <t>Supracoracoideus</t>
  </si>
  <si>
    <t>Triceps brachii accessorius</t>
  </si>
  <si>
    <t>Triceps brachii lateralis</t>
  </si>
  <si>
    <t>Triceps brachii longus profondus</t>
  </si>
  <si>
    <t>Triceps brachii longus superficialis</t>
  </si>
  <si>
    <t>Triceps brachii medialis</t>
  </si>
  <si>
    <t>Largest individual studied, means for right and left limb</t>
  </si>
  <si>
    <t>Regnault et al. (2020)</t>
  </si>
  <si>
    <t>Taxidea taxus</t>
  </si>
  <si>
    <t>Moore et al. (2012)</t>
  </si>
  <si>
    <t>triceps brachii - long head</t>
  </si>
  <si>
    <t>triceps brachii - medial head</t>
  </si>
  <si>
    <t>triceps brachii - lateral head</t>
  </si>
  <si>
    <t>palmaris longus - A</t>
  </si>
  <si>
    <t>palmaris longus - B</t>
  </si>
  <si>
    <t>flexor digitorum profundus - ulnar head</t>
  </si>
  <si>
    <t>flexor digitorum profundus - radial head</t>
  </si>
  <si>
    <t>flexor digitorum profundus - humeral A</t>
  </si>
  <si>
    <t>flexor digitorum profundus - humeral B</t>
  </si>
  <si>
    <t>flexor digitorum profundus - humeral C</t>
  </si>
  <si>
    <t>extensor digitorum lateralis - A</t>
  </si>
  <si>
    <t>extensor digitorum lateralis - B</t>
  </si>
  <si>
    <t>extensor indicis</t>
  </si>
  <si>
    <t>extensor pollicis brevis</t>
  </si>
  <si>
    <t xml:space="preserve">epitrochlearis   </t>
  </si>
  <si>
    <r>
      <t>PCSA (m</t>
    </r>
    <r>
      <rPr>
        <b/>
        <vertAlign val="superscript"/>
        <sz val="11"/>
        <rFont val="Times New Roman"/>
        <family val="1"/>
      </rPr>
      <t>2</t>
    </r>
    <r>
      <rPr>
        <b/>
        <sz val="11"/>
        <rFont val="Times New Roman"/>
        <family val="1"/>
      </rPr>
      <t>)</t>
    </r>
  </si>
  <si>
    <t>Largest individual studied; mass not reported for ECU_L or PQ, and so were isometrically scaled by body mass from 7.7 kg individual in same study</t>
  </si>
  <si>
    <r>
      <t>Median PCSA (m</t>
    </r>
    <r>
      <rPr>
        <b/>
        <vertAlign val="super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)</t>
    </r>
  </si>
  <si>
    <t>Ogihara et al. (2009)</t>
  </si>
  <si>
    <t>Basiliscus vittatus</t>
  </si>
  <si>
    <t>Bergmann and Hare-Drubka (2015)</t>
  </si>
  <si>
    <t xml:space="preserve">Femorotibialis </t>
  </si>
  <si>
    <t xml:space="preserve">Iliofemoralis </t>
  </si>
  <si>
    <t>Iliofibularis</t>
  </si>
  <si>
    <t xml:space="preserve">Ilioischiofibularis </t>
  </si>
  <si>
    <t xml:space="preserve">Ilioischiotibialis </t>
  </si>
  <si>
    <t xml:space="preserve">Pubofibularis </t>
  </si>
  <si>
    <t>Puboischiotibilais</t>
  </si>
  <si>
    <t xml:space="preserve">Adductor femoris </t>
  </si>
  <si>
    <t xml:space="preserve">Ambiens pars dorsalis </t>
  </si>
  <si>
    <t xml:space="preserve">Ambiens pars ventralis </t>
  </si>
  <si>
    <t>Caudofemoralis longus</t>
  </si>
  <si>
    <t xml:space="preserve">Extensor digitorum longus </t>
  </si>
  <si>
    <t xml:space="preserve">Flexor digitorum communis </t>
  </si>
  <si>
    <t>Flexor tibialis externus</t>
  </si>
  <si>
    <t>Flexor tibialis internus</t>
  </si>
  <si>
    <t xml:space="preserve">Gastrocnemius major </t>
  </si>
  <si>
    <t xml:space="preserve">Gastrocnemius minor </t>
  </si>
  <si>
    <t xml:space="preserve">Peroneus brevis </t>
  </si>
  <si>
    <t xml:space="preserve">Tibialis anterior </t>
  </si>
  <si>
    <t>Varanus spenceri</t>
  </si>
  <si>
    <t>Grand (1977, specimen 2004)</t>
  </si>
  <si>
    <t>Macaca fuscata</t>
  </si>
  <si>
    <t>Lepus europaeus</t>
  </si>
  <si>
    <t>Felis nigripes</t>
  </si>
  <si>
    <t>Marmota monax</t>
  </si>
  <si>
    <t>Rupert et al. (2015)</t>
  </si>
  <si>
    <t>FDSE</t>
  </si>
  <si>
    <t>FDSC</t>
  </si>
  <si>
    <t>ADL</t>
  </si>
  <si>
    <t xml:space="preserve">Acinonyx jubatus </t>
  </si>
  <si>
    <t xml:space="preserve">Mandrillus leucophaeus </t>
  </si>
  <si>
    <t>Crocodylus moreletii</t>
  </si>
  <si>
    <t>Mass and fibre length measurements corrected for formalin fixation, as per Kikuchi and Kuraoka (2014, Mammal Study 39: 65–72)</t>
  </si>
  <si>
    <t>Data for most completely studied individual; scapulohumeralis anterior and posterior not reported (both are small muscles)</t>
  </si>
  <si>
    <t>Fascicle length (m)</t>
  </si>
  <si>
    <t>Characteristic fascicle length (m)</t>
  </si>
  <si>
    <t>Salvator merianae ('SEP 113')</t>
  </si>
  <si>
    <t>Salvator merianae ('SEP113')</t>
  </si>
  <si>
    <t>Didelphis virginiana ('SEP 102')</t>
  </si>
  <si>
    <t>Group</t>
  </si>
  <si>
    <t>reptile</t>
  </si>
  <si>
    <t>biped</t>
  </si>
  <si>
    <t>mammal</t>
  </si>
  <si>
    <t xml:space="preserve">6.666667 ± </t>
  </si>
  <si>
    <t>0.0242775 ± 0.00449325</t>
  </si>
  <si>
    <t>0.023197 ± 0.00741489</t>
  </si>
  <si>
    <t>0.01688 ± 0.0026023</t>
  </si>
  <si>
    <t>0.041395 ± 0.00491732</t>
  </si>
  <si>
    <t>0.025084 ± 0.00514013</t>
  </si>
  <si>
    <t>0.0084 ± 0.00008485</t>
  </si>
  <si>
    <r>
      <t xml:space="preserve">0.0322 </t>
    </r>
    <r>
      <rPr>
        <sz val="11"/>
        <rFont val="Calibri"/>
        <family val="2"/>
      </rPr>
      <t>±</t>
    </r>
    <r>
      <rPr>
        <sz val="11"/>
        <rFont val="Times New Roman"/>
        <family val="1"/>
      </rPr>
      <t xml:space="preserve"> 0.00324534</t>
    </r>
  </si>
  <si>
    <t>0.02250142857 ± 0.00585974</t>
  </si>
  <si>
    <t>0.03141142857 ± 0.00353781</t>
  </si>
  <si>
    <t>0.02238 ± 0.01159832</t>
  </si>
  <si>
    <t>0.01900714286 ± 0.0064472</t>
  </si>
  <si>
    <t>0.02502333333 ± 0.00589141</t>
  </si>
  <si>
    <t>0.043227 ± 0.00858273</t>
  </si>
  <si>
    <t>0.030928 ± 0.0030651</t>
  </si>
  <si>
    <t>0.04663875 ± 0.00423319</t>
  </si>
  <si>
    <t>0.02707142857 ± 0.00616962</t>
  </si>
  <si>
    <t>0.05088777778 ± 0.00549026</t>
  </si>
  <si>
    <t>0.03932571429 ± 0.00887506</t>
  </si>
  <si>
    <t>0.033715 ± 0.00617588</t>
  </si>
  <si>
    <t>0.009886 ± 0.00199327</t>
  </si>
  <si>
    <t>0.01917714286 ± 0.00523598</t>
  </si>
  <si>
    <t>0.026762 ± 0.01356554</t>
  </si>
  <si>
    <t>0.01785555556 ± 0.00314786</t>
  </si>
  <si>
    <t>0.023453 ± 0.00833479</t>
  </si>
  <si>
    <t>0.019342 ± 0.00418381</t>
  </si>
  <si>
    <t>0.03344555556 ± 0.00874791</t>
  </si>
  <si>
    <t>0.0344 ± 0.00394382</t>
  </si>
  <si>
    <t>0.01782 ± 0.00375517</t>
  </si>
  <si>
    <t>0.02086 ± 0.00365583</t>
  </si>
  <si>
    <t>0.02098857143 ± 0.00565773</t>
  </si>
  <si>
    <t>0.01809571429 ± 0.0069899</t>
  </si>
  <si>
    <t>0.019226 ± 0.00783391</t>
  </si>
  <si>
    <t>0.01138 ± 0.00115052</t>
  </si>
  <si>
    <t>0.006116666667 ± 0.0008368</t>
  </si>
  <si>
    <t>21 ± 14.54648</t>
  </si>
  <si>
    <t xml:space="preserve">16 ± 15.3753
</t>
  </si>
  <si>
    <t xml:space="preserve">5.444444 ± 11.0353
</t>
  </si>
  <si>
    <t>23.83333 ± 3.65605</t>
  </si>
  <si>
    <t>21.83333 ± 3.37145</t>
  </si>
  <si>
    <t>25.4 ± 4.39318</t>
  </si>
  <si>
    <t>29.28571 ± 10.02853</t>
  </si>
  <si>
    <t>33.8 ± 8.98332</t>
  </si>
  <si>
    <t>30.2 ± 13.11318</t>
  </si>
  <si>
    <t>29.8 ± 9.75705</t>
  </si>
  <si>
    <t>24.66667 ± 8.86942</t>
  </si>
  <si>
    <t>29.66667 ± 5.1251</t>
  </si>
  <si>
    <t>6.9 ± 14.54839</t>
  </si>
  <si>
    <t>0.052367 ± 0.01339829</t>
  </si>
  <si>
    <t>0.041093 ± 0.01889547</t>
  </si>
  <si>
    <t>0.024828 ± 0.0024316</t>
  </si>
  <si>
    <t>0.041414 ± 0.00187343</t>
  </si>
  <si>
    <t>0.01753333333 ± 0.00304132</t>
  </si>
  <si>
    <t>0.007083333333 ± 0.00261566</t>
  </si>
  <si>
    <t>0.01121555556 ± 0.00441966</t>
  </si>
  <si>
    <t>0.02128555556 ± 0.00755257</t>
  </si>
  <si>
    <t>0.01961333333 ± 0.00290799</t>
  </si>
  <si>
    <t>0.03676166667 ± 0.01432162</t>
  </si>
  <si>
    <t>0.02536 ± 0.00385769</t>
  </si>
  <si>
    <t>0.027002 ± 0.00468693</t>
  </si>
  <si>
    <t>0.01810833333 ± 0.00604751</t>
  </si>
  <si>
    <t>0.009759 ± 0.00252666</t>
  </si>
  <si>
    <t>0.020045 ± 0.00321276</t>
  </si>
  <si>
    <t>0.01304 ± 0.00425891</t>
  </si>
  <si>
    <t>0.024135 ± 0.00561645</t>
  </si>
  <si>
    <t>0.01542 ± 0.00259145</t>
  </si>
  <si>
    <t>0.01947666667 ± 0.00294879</t>
  </si>
  <si>
    <t>0.006951111111 ± 0.0023829</t>
  </si>
  <si>
    <t>0.0201425 ± 0.00384378</t>
  </si>
  <si>
    <t>0.02526 ± 0.00348943</t>
  </si>
  <si>
    <t>0.0141275 ± 0.00114386</t>
  </si>
  <si>
    <t>0.02365142857 ± 0.00472561</t>
  </si>
  <si>
    <t>0.029975 ± 0.00534335</t>
  </si>
  <si>
    <t>0.030622 ± 0.00279838</t>
  </si>
  <si>
    <t>0.022714 ± 0.00387668</t>
  </si>
  <si>
    <t>0.011318 ± 0.00231109</t>
  </si>
  <si>
    <t>0.006903333333 ± 0.00233041</t>
  </si>
  <si>
    <t>27.88889 ± 24.14252</t>
  </si>
  <si>
    <t>23.125 ± 17.93988</t>
  </si>
  <si>
    <t>7 ± 9.64365</t>
  </si>
  <si>
    <t>24.7 ± 13.55688</t>
  </si>
  <si>
    <t>28.4 ± 10.73778</t>
  </si>
  <si>
    <t>3 ± 5.19615</t>
  </si>
  <si>
    <t>34.6 ± 9.5551</t>
  </si>
  <si>
    <t>6.666667 ± 3.05505</t>
  </si>
  <si>
    <t>26.33333 ± 7.57188</t>
  </si>
  <si>
    <t>13 ± 15.55635</t>
  </si>
  <si>
    <t>0.02396571429 ± 0.00970879</t>
  </si>
  <si>
    <t>0.034984 ± 0.00510822</t>
  </si>
  <si>
    <t>0.060568 ± 0.00177218</t>
  </si>
  <si>
    <t>0.06686666667 ± 0.02628253</t>
  </si>
  <si>
    <t>0.032234 ± 0.01156602</t>
  </si>
  <si>
    <t>0.02517428571 ± 0.01180689</t>
  </si>
  <si>
    <t>0.02544875 ± 0.01150655</t>
  </si>
  <si>
    <t>0.020948 ± 0.00330338</t>
  </si>
  <si>
    <t>0.024814 ± 0.00405928</t>
  </si>
  <si>
    <t>0.019115 ± 0.00037477</t>
  </si>
  <si>
    <t>0.04466142857 ± 0.00636348</t>
  </si>
  <si>
    <t>0.03416875 ± 0.00830069</t>
  </si>
  <si>
    <t>0.01946428571 ± 0.00302173</t>
  </si>
  <si>
    <t>0.0239 ± 0.00034117</t>
  </si>
  <si>
    <t>0.06751142857 ± 0.00696145</t>
  </si>
  <si>
    <t>0.056282 ± 0.00846578</t>
  </si>
  <si>
    <t>0.05466875 ± 0.00948518</t>
  </si>
  <si>
    <t>0.040501 ± 0.00479523</t>
  </si>
  <si>
    <t>0.07933428571 ± 0.00225139</t>
  </si>
  <si>
    <t>0.032744 ± 0.00361281</t>
  </si>
  <si>
    <t>0.03132777778 ± 0.00512571</t>
  </si>
  <si>
    <t>0.05717 ± 0.01517069</t>
  </si>
  <si>
    <t>0.0443775 ± 0.00520788</t>
  </si>
  <si>
    <t>0.01716 ± 0.0027233</t>
  </si>
  <si>
    <t>0.008296 ± 0.00167197</t>
  </si>
  <si>
    <t>0.02246555556 ± 0.00618984</t>
  </si>
  <si>
    <t>0.029045 ± 0.00418779</t>
  </si>
  <si>
    <t>0.02791888889 ± 0.00364189</t>
  </si>
  <si>
    <t>0.02600714286 ± 0.00852408</t>
  </si>
  <si>
    <t>0.00486 ± 0.00197886</t>
  </si>
  <si>
    <t>0.018438 ± 0.00360437</t>
  </si>
  <si>
    <t>0.03275 ± 0.0077179</t>
  </si>
  <si>
    <t>0.02792 ± 0.00362371</t>
  </si>
  <si>
    <t>0.041052 ± 0.00974427</t>
  </si>
  <si>
    <t>0.04583285714 ± 0.00844964</t>
  </si>
  <si>
    <t>0.01878166667 ± 0.00317922</t>
  </si>
  <si>
    <t>0.01841333333 ± 0.00257763</t>
  </si>
  <si>
    <t>0.02349 ± 0.00148292</t>
  </si>
  <si>
    <t>0.02973 ± 0.00556272</t>
  </si>
  <si>
    <t>0.01286 ± 0.00153795</t>
  </si>
  <si>
    <t>28.6 ± 19.50128</t>
  </si>
  <si>
    <t>4.5 ± 11.0227</t>
  </si>
  <si>
    <t>6 ± 10.3923</t>
  </si>
  <si>
    <t>28.14286 ± 8.83984</t>
  </si>
  <si>
    <t>7.125 ± 13.21728</t>
  </si>
  <si>
    <t>17.4 ± 11.30487</t>
  </si>
  <si>
    <t>23.6 ± 19.98249</t>
  </si>
  <si>
    <t>28.6 ± 19.39845</t>
  </si>
  <si>
    <t>25.5 ± 2.64575</t>
  </si>
  <si>
    <t>11 ± 9.84886</t>
  </si>
  <si>
    <t>16 ± 18.72165</t>
  </si>
  <si>
    <t>13 ± 7.48331</t>
  </si>
  <si>
    <t>45 ± 0</t>
  </si>
  <si>
    <t>13.33333 ± 3.21455</t>
  </si>
  <si>
    <t>15.33333 ± 9.39503</t>
  </si>
  <si>
    <t>10 ± 8.88819</t>
  </si>
  <si>
    <t>8.333333 ± 7.63763</t>
  </si>
  <si>
    <t>32.49 ± 0</t>
  </si>
  <si>
    <t>0.098272 ± 0.01939348</t>
  </si>
  <si>
    <t>0.068016 ± 0.04599606</t>
  </si>
  <si>
    <t>0.03028166667 ± 0.0057577</t>
  </si>
  <si>
    <t>0.02611571429 ± 0.01216111</t>
  </si>
  <si>
    <t>0.024832 ± 0.00642176</t>
  </si>
  <si>
    <t>0.025864 ± 0.00684801</t>
  </si>
  <si>
    <t>0.039925 ± 0.00837871</t>
  </si>
  <si>
    <t>0.01239 ± 0.00477033</t>
  </si>
  <si>
    <t>0.01452222222 ± 0.00361848</t>
  </si>
  <si>
    <t>0.054345 ± 0.00602181</t>
  </si>
  <si>
    <t>0.0107025 ± 0.00098932</t>
  </si>
  <si>
    <t>0.02163111111 ± 0.00515197</t>
  </si>
  <si>
    <t>0.0312125 ± 0.00586508</t>
  </si>
  <si>
    <t>0.02819125 ± 0.00736478</t>
  </si>
  <si>
    <t>0.024477 ± 0.00314458</t>
  </si>
  <si>
    <t>0.03266 ± 0.00591653</t>
  </si>
  <si>
    <t>0.04065 ± 0.00436734</t>
  </si>
  <si>
    <t>0.013245 ± 0.00275065</t>
  </si>
  <si>
    <t>0.008565 ± 0.00175244</t>
  </si>
  <si>
    <t>0.041912 ± 0.00404622</t>
  </si>
  <si>
    <t>0.010134 ± 0.00289883</t>
  </si>
  <si>
    <t>0.0373025 ± 0.00329749</t>
  </si>
  <si>
    <t>0.02682833333 ± 0.00311425</t>
  </si>
  <si>
    <t>0.021752 ± 0.0028016</t>
  </si>
  <si>
    <t>0.02415666667 ± 0.00149721</t>
  </si>
  <si>
    <t>0.00856 ± 0.00324116</t>
  </si>
  <si>
    <t>0.03430666667 ± 0.0114684</t>
  </si>
  <si>
    <t>0.010266 ± 0.00356517</t>
  </si>
  <si>
    <t>0.02248666667 ± 0.00280002</t>
  </si>
  <si>
    <t>0.02154166667 ± 0.00718802</t>
  </si>
  <si>
    <t>0.02803333333 ± 0.00548206</t>
  </si>
  <si>
    <t>0.02503333333 ± 0.00647503</t>
  </si>
  <si>
    <t>0.026188 ± 0.00631216</t>
  </si>
  <si>
    <t>0.022344 ± 0.00346553</t>
  </si>
  <si>
    <t>0.0170125 ± 0.00472394</t>
  </si>
  <si>
    <t>0.01944 ± 0.00232746</t>
  </si>
  <si>
    <t>0.02615 ± 0.00301617</t>
  </si>
  <si>
    <t>0.012664 ± 0.00236103</t>
  </si>
  <si>
    <t>0.00414 ± 0.00076544</t>
  </si>
  <si>
    <t>10.66667 ± 4.16333</t>
  </si>
  <si>
    <t>19.8 ± 8.25833</t>
  </si>
  <si>
    <t>16.75 ± 12.02082</t>
  </si>
  <si>
    <t>13.2 ± 14.1845</t>
  </si>
  <si>
    <t>30 ± 0</t>
  </si>
  <si>
    <t>13.6 ± 7.09225</t>
  </si>
  <si>
    <t>25 ± 10.88118</t>
  </si>
  <si>
    <t>20 ± 0</t>
  </si>
  <si>
    <t>5 ± 5.7735</t>
  </si>
  <si>
    <t>21.33333 ± 19.13984</t>
  </si>
  <si>
    <t>4.666667 ± 8.0829</t>
  </si>
  <si>
    <t>21.5 ± 3.53553</t>
  </si>
  <si>
    <t>5 ± 7.07107</t>
  </si>
  <si>
    <t>11.33333 ± 7.50555</t>
  </si>
  <si>
    <t>17.8 ± 10.20784</t>
  </si>
  <si>
    <t>6 ± 8.48528</t>
  </si>
  <si>
    <t>9 ± 1.41421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</si>
</sst>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sz val="9"/>
      <name val="Geneva"/>
    </font>
    <font>
      <b/>
      <sz val="11"/>
      <name val="Times New Roman"/>
      <family val="1"/>
    </font>
    <font>
      <b/>
      <vertAlign val="superscript"/>
      <sz val="11"/>
      <color theme="1"/>
      <name val="Times New Roman"/>
      <family val="1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vertAlign val="superscript"/>
      <sz val="11"/>
      <name val="Times New Roman"/>
      <family val="1"/>
    </font>
    <font>
      <sz val="11"/>
      <color rgb="FF000000"/>
      <name val="Times New Roman"/>
      <family val="1"/>
    </font>
    <font>
      <sz val="11"/>
      <name val="Calibri"/>
      <family val="2"/>
    </font>
  </fonts>
  <fills count="4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164" fontId="1" fillId="0" borderId="0" applyFont="0" applyFill="0" applyBorder="0" applyAlignment="0" applyProtection="0"/>
    <xf numFmtId="0" fontId="5" fillId="0" borderId="0"/>
    <xf numFmtId="0" fontId="7" fillId="0" borderId="0"/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3" fillId="0" borderId="0" applyNumberFormat="0" applyFill="0" applyBorder="0" applyAlignment="0" applyProtection="0"/>
    <xf numFmtId="0" fontId="14" fillId="9" borderId="0" applyNumberFormat="0" applyBorder="0" applyAlignment="0" applyProtection="0"/>
    <xf numFmtId="0" fontId="15" fillId="10" borderId="0" applyNumberFormat="0" applyBorder="0" applyAlignment="0" applyProtection="0"/>
    <xf numFmtId="0" fontId="16" fillId="11" borderId="0" applyNumberFormat="0" applyBorder="0" applyAlignment="0" applyProtection="0"/>
    <xf numFmtId="0" fontId="17" fillId="12" borderId="4" applyNumberFormat="0" applyAlignment="0" applyProtection="0"/>
    <xf numFmtId="0" fontId="18" fillId="13" borderId="5" applyNumberFormat="0" applyAlignment="0" applyProtection="0"/>
    <xf numFmtId="0" fontId="19" fillId="13" borderId="4" applyNumberFormat="0" applyAlignment="0" applyProtection="0"/>
    <xf numFmtId="0" fontId="20" fillId="0" borderId="6" applyNumberFormat="0" applyFill="0" applyAlignment="0" applyProtection="0"/>
    <xf numFmtId="0" fontId="21" fillId="14" borderId="7" applyNumberFormat="0" applyAlignment="0" applyProtection="0"/>
    <xf numFmtId="0" fontId="22" fillId="0" borderId="0" applyNumberFormat="0" applyFill="0" applyBorder="0" applyAlignment="0" applyProtection="0"/>
    <xf numFmtId="0" fontId="1" fillId="15" borderId="8" applyNumberFormat="0" applyFont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25" fillId="39" borderId="0" applyNumberFormat="0" applyBorder="0" applyAlignment="0" applyProtection="0"/>
    <xf numFmtId="0" fontId="5" fillId="0" borderId="0"/>
  </cellStyleXfs>
  <cellXfs count="67">
    <xf numFmtId="0" fontId="0" fillId="0" borderId="0" xfId="0"/>
    <xf numFmtId="0" fontId="4" fillId="2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4" fillId="4" borderId="0" xfId="1" applyNumberFormat="1" applyFont="1" applyFill="1" applyBorder="1" applyAlignment="1">
      <alignment vertical="center"/>
    </xf>
    <xf numFmtId="1" fontId="4" fillId="2" borderId="0" xfId="0" applyNumberFormat="1" applyFont="1" applyFill="1" applyAlignment="1">
      <alignment vertical="center"/>
    </xf>
    <xf numFmtId="0" fontId="4" fillId="5" borderId="0" xfId="0" applyFont="1" applyFill="1" applyAlignment="1">
      <alignment vertical="center"/>
    </xf>
    <xf numFmtId="1" fontId="4" fillId="5" borderId="0" xfId="0" applyNumberFormat="1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4" fillId="7" borderId="0" xfId="0" applyFont="1" applyFill="1" applyAlignment="1">
      <alignment vertical="center"/>
    </xf>
    <xf numFmtId="1" fontId="4" fillId="7" borderId="0" xfId="0" applyNumberFormat="1" applyFont="1" applyFill="1" applyAlignment="1">
      <alignment vertical="center"/>
    </xf>
    <xf numFmtId="0" fontId="4" fillId="2" borderId="0" xfId="2" applyFont="1" applyFill="1"/>
    <xf numFmtId="0" fontId="6" fillId="2" borderId="0" xfId="2" applyFont="1" applyFill="1"/>
    <xf numFmtId="0" fontId="2" fillId="8" borderId="0" xfId="0" applyFont="1" applyFill="1"/>
    <xf numFmtId="0" fontId="4" fillId="8" borderId="0" xfId="0" applyFont="1" applyFill="1"/>
    <xf numFmtId="1" fontId="4" fillId="6" borderId="0" xfId="0" applyNumberFormat="1" applyFont="1" applyFill="1" applyAlignment="1">
      <alignment vertical="center"/>
    </xf>
    <xf numFmtId="0" fontId="2" fillId="40" borderId="0" xfId="0" applyFont="1" applyFill="1"/>
    <xf numFmtId="0" fontId="3" fillId="3" borderId="0" xfId="0" applyFont="1" applyFill="1"/>
    <xf numFmtId="0" fontId="3" fillId="2" borderId="0" xfId="0" applyFont="1" applyFill="1"/>
    <xf numFmtId="0" fontId="3" fillId="4" borderId="0" xfId="0" applyFont="1" applyFill="1"/>
    <xf numFmtId="0" fontId="2" fillId="0" borderId="0" xfId="0" applyFont="1"/>
    <xf numFmtId="0" fontId="3" fillId="0" borderId="0" xfId="0" applyFont="1"/>
    <xf numFmtId="0" fontId="8" fillId="0" borderId="0" xfId="0" applyFont="1"/>
    <xf numFmtId="0" fontId="4" fillId="0" borderId="0" xfId="0" applyFont="1"/>
    <xf numFmtId="1" fontId="4" fillId="3" borderId="0" xfId="0" applyNumberFormat="1" applyFont="1" applyFill="1" applyAlignment="1">
      <alignment vertical="center"/>
    </xf>
    <xf numFmtId="0" fontId="4" fillId="6" borderId="0" xfId="0" applyFont="1" applyFill="1"/>
    <xf numFmtId="0" fontId="2" fillId="6" borderId="0" xfId="0" applyFont="1" applyFill="1"/>
    <xf numFmtId="0" fontId="4" fillId="6" borderId="0" xfId="0" applyFont="1" applyFill="1" applyAlignment="1">
      <alignment vertical="center"/>
    </xf>
    <xf numFmtId="0" fontId="2" fillId="2" borderId="0" xfId="0" applyFont="1" applyFill="1"/>
    <xf numFmtId="0" fontId="4" fillId="2" borderId="0" xfId="0" applyFont="1" applyFill="1"/>
    <xf numFmtId="0" fontId="2" fillId="3" borderId="0" xfId="0" applyFont="1" applyFill="1"/>
    <xf numFmtId="0" fontId="4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4" fillId="7" borderId="0" xfId="0" applyFont="1" applyFill="1"/>
    <xf numFmtId="0" fontId="2" fillId="7" borderId="0" xfId="0" applyFont="1" applyFill="1"/>
    <xf numFmtId="11" fontId="2" fillId="0" borderId="0" xfId="0" applyNumberFormat="1" applyFont="1"/>
    <xf numFmtId="0" fontId="2" fillId="41" borderId="0" xfId="0" applyFont="1" applyFill="1"/>
    <xf numFmtId="0" fontId="4" fillId="41" borderId="0" xfId="0" applyFont="1" applyFill="1"/>
    <xf numFmtId="0" fontId="4" fillId="41" borderId="0" xfId="0" applyFont="1" applyFill="1" applyAlignment="1">
      <alignment vertical="center"/>
    </xf>
    <xf numFmtId="1" fontId="4" fillId="41" borderId="0" xfId="0" applyNumberFormat="1" applyFont="1" applyFill="1" applyAlignment="1">
      <alignment vertical="center"/>
    </xf>
    <xf numFmtId="1" fontId="4" fillId="4" borderId="0" xfId="0" applyNumberFormat="1" applyFont="1" applyFill="1" applyAlignment="1">
      <alignment vertical="center"/>
    </xf>
    <xf numFmtId="11" fontId="4" fillId="5" borderId="0" xfId="0" applyNumberFormat="1" applyFont="1" applyFill="1"/>
    <xf numFmtId="0" fontId="4" fillId="0" borderId="0" xfId="0" applyFont="1" applyAlignment="1">
      <alignment vertical="center"/>
    </xf>
    <xf numFmtId="0" fontId="4" fillId="4" borderId="0" xfId="0" applyFont="1" applyFill="1"/>
    <xf numFmtId="0" fontId="4" fillId="5" borderId="0" xfId="0" applyFont="1" applyFill="1"/>
    <xf numFmtId="0" fontId="2" fillId="4" borderId="0" xfId="0" applyFont="1" applyFill="1" applyAlignment="1">
      <alignment horizontal="right"/>
    </xf>
    <xf numFmtId="0" fontId="2" fillId="3" borderId="0" xfId="0" applyFont="1" applyFill="1" applyAlignment="1">
      <alignment horizontal="right"/>
    </xf>
    <xf numFmtId="0" fontId="2" fillId="2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  <xf numFmtId="0" fontId="4" fillId="2" borderId="0" xfId="0" applyFont="1" applyFill="1" applyAlignment="1">
      <alignment horizontal="right"/>
    </xf>
    <xf numFmtId="11" fontId="2" fillId="3" borderId="0" xfId="0" applyNumberFormat="1" applyFont="1" applyFill="1"/>
    <xf numFmtId="0" fontId="3" fillId="6" borderId="0" xfId="0" applyFont="1" applyFill="1"/>
    <xf numFmtId="0" fontId="2" fillId="6" borderId="0" xfId="0" applyFont="1" applyFill="1" applyAlignment="1">
      <alignment horizontal="right"/>
    </xf>
    <xf numFmtId="0" fontId="4" fillId="40" borderId="0" xfId="0" applyFont="1" applyFill="1"/>
    <xf numFmtId="0" fontId="3" fillId="41" borderId="0" xfId="0" applyFont="1" applyFill="1"/>
    <xf numFmtId="0" fontId="2" fillId="41" borderId="0" xfId="0" applyFont="1" applyFill="1" applyAlignment="1">
      <alignment horizontal="right"/>
    </xf>
    <xf numFmtId="11" fontId="2" fillId="41" borderId="0" xfId="0" applyNumberFormat="1" applyFont="1" applyFill="1" applyAlignment="1">
      <alignment horizontal="right"/>
    </xf>
    <xf numFmtId="0" fontId="27" fillId="5" borderId="0" xfId="0" applyFont="1" applyFill="1" applyAlignment="1">
      <alignment horizontal="left" vertical="center"/>
    </xf>
    <xf numFmtId="0" fontId="2" fillId="5" borderId="0" xfId="0" applyFont="1" applyFill="1" applyAlignment="1">
      <alignment horizontal="right"/>
    </xf>
    <xf numFmtId="0" fontId="27" fillId="5" borderId="0" xfId="0" applyFont="1" applyFill="1" applyAlignment="1">
      <alignment horizontal="right" vertical="center" wrapText="1"/>
    </xf>
    <xf numFmtId="0" fontId="27" fillId="5" borderId="0" xfId="0" applyFont="1" applyFill="1" applyAlignment="1">
      <alignment horizontal="right" vertical="center"/>
    </xf>
    <xf numFmtId="0" fontId="4" fillId="41" borderId="0" xfId="0" applyFont="1" applyFill="1" applyAlignment="1">
      <alignment wrapText="1"/>
    </xf>
    <xf numFmtId="0" fontId="3" fillId="4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41" borderId="0" xfId="0" applyFont="1" applyFill="1" applyAlignment="1">
      <alignment horizontal="center"/>
    </xf>
  </cellXfs>
  <cellStyles count="46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10" xfId="45" xr:uid="{00000000-0005-0000-0000-000026000000}"/>
    <cellStyle name="Normal 2" xfId="3" xr:uid="{00000000-0005-0000-0000-000027000000}"/>
    <cellStyle name="Normal 3" xfId="2" xr:uid="{00000000-0005-0000-0000-000028000000}"/>
    <cellStyle name="Note" xfId="18" builtinId="10" customBuiltin="1"/>
    <cellStyle name="Output" xfId="13" builtinId="21" customBuiltin="1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colors>
    <mruColors>
      <color rgb="FF0000FF"/>
      <color rgb="FFFFFF99"/>
      <color rgb="FF00FF00"/>
      <color rgb="FFFFCC00"/>
      <color rgb="FFCC33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86"/>
  <sheetViews>
    <sheetView tabSelected="1" zoomScale="85" zoomScaleNormal="85" workbookViewId="0">
      <pane ySplit="1" topLeftCell="A21" activePane="bottomLeft" state="frozen"/>
      <selection pane="bottomLeft" activeCell="K25" sqref="K25"/>
    </sheetView>
  </sheetViews>
  <sheetFormatPr baseColWidth="10" defaultColWidth="9.1640625" defaultRowHeight="14" x14ac:dyDescent="0.15"/>
  <cols>
    <col min="1" max="1" width="31.5" style="19" bestFit="1" customWidth="1"/>
    <col min="2" max="2" width="9.5" style="19" bestFit="1" customWidth="1"/>
    <col min="3" max="3" width="14.5" style="19" customWidth="1"/>
    <col min="4" max="4" width="15.33203125" style="22" bestFit="1" customWidth="1"/>
    <col min="5" max="5" width="15.33203125" style="19" customWidth="1"/>
    <col min="6" max="6" width="16.6640625" style="22" customWidth="1"/>
    <col min="7" max="7" width="26" style="22" bestFit="1" customWidth="1"/>
    <col min="8" max="8" width="12.5" style="22" customWidth="1"/>
    <col min="9" max="9" width="23.5" style="19" bestFit="1" customWidth="1"/>
    <col min="10" max="10" width="14.83203125" style="19" bestFit="1" customWidth="1"/>
    <col min="11" max="11" width="23.83203125" style="19" customWidth="1"/>
    <col min="12" max="16384" width="9.1640625" style="19"/>
  </cols>
  <sheetData>
    <row r="1" spans="1:11" ht="15" x14ac:dyDescent="0.15">
      <c r="A1" s="20" t="s">
        <v>0</v>
      </c>
      <c r="B1" s="20" t="s">
        <v>922</v>
      </c>
      <c r="C1" s="20" t="s">
        <v>69</v>
      </c>
      <c r="D1" s="21" t="s">
        <v>10</v>
      </c>
      <c r="E1" s="20" t="s">
        <v>741</v>
      </c>
      <c r="F1" s="21" t="s">
        <v>70</v>
      </c>
      <c r="G1" s="21" t="s">
        <v>917</v>
      </c>
      <c r="H1" s="21" t="s">
        <v>71</v>
      </c>
      <c r="I1" s="20" t="s">
        <v>57</v>
      </c>
      <c r="J1" s="20" t="s">
        <v>73</v>
      </c>
      <c r="K1" s="20"/>
    </row>
    <row r="2" spans="1:11" x14ac:dyDescent="0.15">
      <c r="A2" s="34" t="s">
        <v>66</v>
      </c>
      <c r="B2" s="34" t="s">
        <v>923</v>
      </c>
      <c r="C2" s="34">
        <v>57.7</v>
      </c>
      <c r="D2" s="33" t="s">
        <v>12</v>
      </c>
      <c r="E2" s="34" t="s">
        <v>742</v>
      </c>
      <c r="F2" s="8">
        <v>1.481E-2</v>
      </c>
      <c r="G2" s="8">
        <v>9.2999999999999999E-2</v>
      </c>
      <c r="H2" s="9">
        <v>0</v>
      </c>
      <c r="I2" s="34" t="s">
        <v>60</v>
      </c>
      <c r="J2" s="19">
        <f t="shared" ref="J2:J32" si="0">F2*COS(RADIANS(H2))/(1060*G2)</f>
        <v>1.5023331304524245E-4</v>
      </c>
    </row>
    <row r="3" spans="1:11" x14ac:dyDescent="0.15">
      <c r="A3" s="34" t="s">
        <v>66</v>
      </c>
      <c r="B3" s="34" t="s">
        <v>923</v>
      </c>
      <c r="C3" s="34">
        <v>57.7</v>
      </c>
      <c r="D3" s="33" t="s">
        <v>13</v>
      </c>
      <c r="E3" s="34" t="s">
        <v>742</v>
      </c>
      <c r="F3" s="8">
        <v>0.1082</v>
      </c>
      <c r="G3" s="8">
        <v>5.0999999999999997E-2</v>
      </c>
      <c r="H3" s="9">
        <v>28</v>
      </c>
      <c r="I3" s="34" t="s">
        <v>60</v>
      </c>
      <c r="J3" s="19">
        <f t="shared" si="0"/>
        <v>1.7672018044272274E-3</v>
      </c>
    </row>
    <row r="4" spans="1:11" x14ac:dyDescent="0.15">
      <c r="A4" s="34" t="s">
        <v>66</v>
      </c>
      <c r="B4" s="34" t="s">
        <v>923</v>
      </c>
      <c r="C4" s="34">
        <v>57.7</v>
      </c>
      <c r="D4" s="33" t="s">
        <v>14</v>
      </c>
      <c r="E4" s="34" t="s">
        <v>742</v>
      </c>
      <c r="F4" s="8">
        <v>3.2960000000000003E-2</v>
      </c>
      <c r="G4" s="8">
        <v>0.112</v>
      </c>
      <c r="H4" s="9">
        <v>24</v>
      </c>
      <c r="I4" s="34" t="s">
        <v>60</v>
      </c>
      <c r="J4" s="19">
        <f t="shared" si="0"/>
        <v>2.5362582786304016E-4</v>
      </c>
    </row>
    <row r="5" spans="1:11" x14ac:dyDescent="0.15">
      <c r="A5" s="34" t="s">
        <v>66</v>
      </c>
      <c r="B5" s="34" t="s">
        <v>923</v>
      </c>
      <c r="C5" s="34">
        <v>57.7</v>
      </c>
      <c r="D5" s="33" t="s">
        <v>18</v>
      </c>
      <c r="E5" s="34" t="s">
        <v>742</v>
      </c>
      <c r="F5" s="8">
        <v>5.6499999999999996E-3</v>
      </c>
      <c r="G5" s="8">
        <v>6.7000000000000004E-2</v>
      </c>
      <c r="H5" s="9">
        <v>0</v>
      </c>
      <c r="I5" s="34" t="s">
        <v>60</v>
      </c>
      <c r="J5" s="19">
        <f t="shared" si="0"/>
        <v>7.9555054914108681E-5</v>
      </c>
    </row>
    <row r="6" spans="1:11" x14ac:dyDescent="0.15">
      <c r="A6" s="34" t="s">
        <v>66</v>
      </c>
      <c r="B6" s="34" t="s">
        <v>923</v>
      </c>
      <c r="C6" s="34">
        <v>57.7</v>
      </c>
      <c r="D6" s="33" t="s">
        <v>17</v>
      </c>
      <c r="E6" s="34" t="s">
        <v>742</v>
      </c>
      <c r="F6" s="8">
        <v>7.26E-3</v>
      </c>
      <c r="G6" s="8">
        <v>4.2999999999999997E-2</v>
      </c>
      <c r="H6" s="9">
        <v>9</v>
      </c>
      <c r="I6" s="34" t="s">
        <v>60</v>
      </c>
      <c r="J6" s="19">
        <f t="shared" si="0"/>
        <v>1.5731938027030936E-4</v>
      </c>
    </row>
    <row r="7" spans="1:11" x14ac:dyDescent="0.15">
      <c r="A7" s="34" t="s">
        <v>66</v>
      </c>
      <c r="B7" s="34" t="s">
        <v>923</v>
      </c>
      <c r="C7" s="34">
        <v>57.7</v>
      </c>
      <c r="D7" s="33" t="s">
        <v>19</v>
      </c>
      <c r="E7" s="34" t="s">
        <v>742</v>
      </c>
      <c r="F7" s="8">
        <v>4.4400000000000004E-3</v>
      </c>
      <c r="G7" s="8">
        <v>3.1E-2</v>
      </c>
      <c r="H7" s="9">
        <v>33</v>
      </c>
      <c r="I7" s="34" t="s">
        <v>60</v>
      </c>
      <c r="J7" s="19">
        <f t="shared" si="0"/>
        <v>1.133200645671845E-4</v>
      </c>
    </row>
    <row r="8" spans="1:11" x14ac:dyDescent="0.15">
      <c r="A8" s="34" t="s">
        <v>66</v>
      </c>
      <c r="B8" s="34" t="s">
        <v>923</v>
      </c>
      <c r="C8" s="34">
        <v>57.7</v>
      </c>
      <c r="D8" s="33" t="s">
        <v>22</v>
      </c>
      <c r="E8" s="34" t="s">
        <v>742</v>
      </c>
      <c r="F8" s="8">
        <v>0.12237000000000001</v>
      </c>
      <c r="G8" s="8">
        <v>0.04</v>
      </c>
      <c r="H8" s="9">
        <v>42</v>
      </c>
      <c r="I8" s="34" t="s">
        <v>60</v>
      </c>
      <c r="J8" s="19">
        <f t="shared" si="0"/>
        <v>2.1447790635299229E-3</v>
      </c>
    </row>
    <row r="9" spans="1:11" x14ac:dyDescent="0.15">
      <c r="A9" s="34" t="s">
        <v>66</v>
      </c>
      <c r="B9" s="34" t="s">
        <v>923</v>
      </c>
      <c r="C9" s="34">
        <v>57.7</v>
      </c>
      <c r="D9" s="33" t="s">
        <v>4</v>
      </c>
      <c r="E9" s="34" t="s">
        <v>742</v>
      </c>
      <c r="F9" s="8">
        <v>3.2559999999999999E-2</v>
      </c>
      <c r="G9" s="8">
        <v>0.156</v>
      </c>
      <c r="H9" s="9">
        <v>0</v>
      </c>
      <c r="I9" s="34" t="s">
        <v>60</v>
      </c>
      <c r="J9" s="19">
        <f t="shared" si="0"/>
        <v>1.9690372520561196E-4</v>
      </c>
    </row>
    <row r="10" spans="1:11" x14ac:dyDescent="0.15">
      <c r="A10" s="34" t="s">
        <v>66</v>
      </c>
      <c r="B10" s="34" t="s">
        <v>923</v>
      </c>
      <c r="C10" s="34">
        <v>57.7</v>
      </c>
      <c r="D10" s="33" t="s">
        <v>25</v>
      </c>
      <c r="E10" s="34" t="s">
        <v>742</v>
      </c>
      <c r="F10" s="8">
        <v>6.8399999999999997E-3</v>
      </c>
      <c r="G10" s="8">
        <v>6.9000000000000006E-2</v>
      </c>
      <c r="H10" s="9">
        <v>30</v>
      </c>
      <c r="I10" s="34" t="s">
        <v>60</v>
      </c>
      <c r="J10" s="19">
        <f t="shared" si="0"/>
        <v>8.0990070575410989E-5</v>
      </c>
    </row>
    <row r="11" spans="1:11" x14ac:dyDescent="0.15">
      <c r="A11" s="34" t="s">
        <v>66</v>
      </c>
      <c r="B11" s="34" t="s">
        <v>923</v>
      </c>
      <c r="C11" s="34">
        <v>57.7</v>
      </c>
      <c r="D11" s="33" t="s">
        <v>29</v>
      </c>
      <c r="E11" s="34" t="s">
        <v>742</v>
      </c>
      <c r="F11" s="8">
        <v>0.23100000000000001</v>
      </c>
      <c r="G11" s="8">
        <v>0.14599999999999999</v>
      </c>
      <c r="H11" s="9">
        <v>0</v>
      </c>
      <c r="I11" s="34" t="s">
        <v>60</v>
      </c>
      <c r="J11" s="19">
        <f t="shared" si="0"/>
        <v>1.4926337554923754E-3</v>
      </c>
    </row>
    <row r="12" spans="1:11" x14ac:dyDescent="0.15">
      <c r="A12" s="34" t="s">
        <v>66</v>
      </c>
      <c r="B12" s="34" t="s">
        <v>923</v>
      </c>
      <c r="C12" s="34">
        <v>57.7</v>
      </c>
      <c r="D12" s="33" t="s">
        <v>31</v>
      </c>
      <c r="E12" s="34" t="s">
        <v>742</v>
      </c>
      <c r="F12" s="8">
        <v>6.1530000000000001E-2</v>
      </c>
      <c r="G12" s="8">
        <v>0.125</v>
      </c>
      <c r="H12" s="9">
        <v>0</v>
      </c>
      <c r="I12" s="34" t="s">
        <v>60</v>
      </c>
      <c r="J12" s="19">
        <f t="shared" si="0"/>
        <v>4.6437735849056604E-4</v>
      </c>
    </row>
    <row r="13" spans="1:11" x14ac:dyDescent="0.15">
      <c r="A13" s="34" t="s">
        <v>66</v>
      </c>
      <c r="B13" s="34" t="s">
        <v>923</v>
      </c>
      <c r="C13" s="34">
        <v>57.7</v>
      </c>
      <c r="D13" s="33" t="s">
        <v>33</v>
      </c>
      <c r="E13" s="34" t="s">
        <v>742</v>
      </c>
      <c r="F13" s="8">
        <v>0.12018</v>
      </c>
      <c r="G13" s="8">
        <v>0.14799999999999999</v>
      </c>
      <c r="H13" s="9">
        <v>0</v>
      </c>
      <c r="I13" s="34" t="s">
        <v>60</v>
      </c>
      <c r="J13" s="19">
        <f t="shared" si="0"/>
        <v>7.6606323304436515E-4</v>
      </c>
    </row>
    <row r="14" spans="1:11" x14ac:dyDescent="0.15">
      <c r="A14" s="34" t="s">
        <v>66</v>
      </c>
      <c r="B14" s="34" t="s">
        <v>923</v>
      </c>
      <c r="C14" s="34">
        <v>57.7</v>
      </c>
      <c r="D14" s="33" t="s">
        <v>91</v>
      </c>
      <c r="E14" s="34" t="s">
        <v>742</v>
      </c>
      <c r="F14" s="8">
        <v>1.388E-2</v>
      </c>
      <c r="G14" s="8">
        <v>0.152</v>
      </c>
      <c r="H14" s="9">
        <v>0</v>
      </c>
      <c r="I14" s="34" t="s">
        <v>60</v>
      </c>
      <c r="J14" s="19">
        <f t="shared" si="0"/>
        <v>8.6146971201588876E-5</v>
      </c>
    </row>
    <row r="15" spans="1:11" x14ac:dyDescent="0.15">
      <c r="A15" s="34" t="s">
        <v>66</v>
      </c>
      <c r="B15" s="34" t="s">
        <v>923</v>
      </c>
      <c r="C15" s="34">
        <v>57.7</v>
      </c>
      <c r="D15" s="33" t="s">
        <v>92</v>
      </c>
      <c r="E15" s="34" t="s">
        <v>742</v>
      </c>
      <c r="F15" s="8">
        <v>8.1140000000000004E-2</v>
      </c>
      <c r="G15" s="8">
        <v>0.19400000000000001</v>
      </c>
      <c r="H15" s="9">
        <v>0</v>
      </c>
      <c r="I15" s="34" t="s">
        <v>60</v>
      </c>
      <c r="J15" s="19">
        <f t="shared" si="0"/>
        <v>3.9457304026453997E-4</v>
      </c>
    </row>
    <row r="16" spans="1:11" x14ac:dyDescent="0.15">
      <c r="A16" s="34" t="s">
        <v>66</v>
      </c>
      <c r="B16" s="34" t="s">
        <v>923</v>
      </c>
      <c r="C16" s="34">
        <v>57.7</v>
      </c>
      <c r="D16" s="33" t="s">
        <v>35</v>
      </c>
      <c r="E16" s="34" t="s">
        <v>742</v>
      </c>
      <c r="F16" s="8">
        <v>4.1570000000000003E-2</v>
      </c>
      <c r="G16" s="8">
        <v>7.1999999999999995E-2</v>
      </c>
      <c r="H16" s="9">
        <v>0</v>
      </c>
      <c r="I16" s="34" t="s">
        <v>60</v>
      </c>
      <c r="J16" s="19">
        <f t="shared" si="0"/>
        <v>5.446802935010483E-4</v>
      </c>
    </row>
    <row r="17" spans="1:10" x14ac:dyDescent="0.15">
      <c r="A17" s="34" t="s">
        <v>66</v>
      </c>
      <c r="B17" s="34" t="s">
        <v>923</v>
      </c>
      <c r="C17" s="34">
        <v>57.7</v>
      </c>
      <c r="D17" s="33" t="s">
        <v>90</v>
      </c>
      <c r="E17" s="34" t="s">
        <v>742</v>
      </c>
      <c r="F17" s="8">
        <v>1.9359999999999999E-2</v>
      </c>
      <c r="G17" s="8">
        <v>0.11799999999999999</v>
      </c>
      <c r="H17" s="9">
        <v>0</v>
      </c>
      <c r="I17" s="34" t="s">
        <v>60</v>
      </c>
      <c r="J17" s="19">
        <f t="shared" si="0"/>
        <v>1.5478094019827311E-4</v>
      </c>
    </row>
    <row r="18" spans="1:10" x14ac:dyDescent="0.15">
      <c r="A18" s="34" t="s">
        <v>66</v>
      </c>
      <c r="B18" s="34" t="s">
        <v>923</v>
      </c>
      <c r="C18" s="34">
        <v>57.7</v>
      </c>
      <c r="D18" s="33" t="s">
        <v>80</v>
      </c>
      <c r="E18" s="34" t="s">
        <v>742</v>
      </c>
      <c r="F18" s="8">
        <v>3.5749999999999997E-2</v>
      </c>
      <c r="G18" s="8">
        <v>0.159</v>
      </c>
      <c r="H18" s="9">
        <v>12</v>
      </c>
      <c r="I18" s="34" t="s">
        <v>60</v>
      </c>
      <c r="J18" s="19">
        <f t="shared" si="0"/>
        <v>2.074805786533378E-4</v>
      </c>
    </row>
    <row r="19" spans="1:10" x14ac:dyDescent="0.15">
      <c r="A19" s="34" t="s">
        <v>66</v>
      </c>
      <c r="B19" s="34" t="s">
        <v>923</v>
      </c>
      <c r="C19" s="34">
        <v>57.7</v>
      </c>
      <c r="D19" s="33" t="s">
        <v>37</v>
      </c>
      <c r="E19" s="34" t="s">
        <v>742</v>
      </c>
      <c r="F19" s="8">
        <v>5.5500000000000001E-2</v>
      </c>
      <c r="G19" s="8">
        <v>0.155</v>
      </c>
      <c r="H19" s="9">
        <v>0</v>
      </c>
      <c r="I19" s="34" t="s">
        <v>60</v>
      </c>
      <c r="J19" s="19">
        <f t="shared" si="0"/>
        <v>3.3779671332927571E-4</v>
      </c>
    </row>
    <row r="20" spans="1:10" x14ac:dyDescent="0.15">
      <c r="A20" s="34" t="s">
        <v>66</v>
      </c>
      <c r="B20" s="34" t="s">
        <v>923</v>
      </c>
      <c r="C20" s="34">
        <v>57.7</v>
      </c>
      <c r="D20" s="33" t="s">
        <v>38</v>
      </c>
      <c r="E20" s="34" t="s">
        <v>742</v>
      </c>
      <c r="F20" s="8">
        <v>2.588E-2</v>
      </c>
      <c r="G20" s="8">
        <v>0.16</v>
      </c>
      <c r="H20" s="9">
        <v>0</v>
      </c>
      <c r="I20" s="34" t="s">
        <v>60</v>
      </c>
      <c r="J20" s="19">
        <f t="shared" si="0"/>
        <v>1.5259433962264152E-4</v>
      </c>
    </row>
    <row r="21" spans="1:10" x14ac:dyDescent="0.15">
      <c r="A21" s="34" t="s">
        <v>66</v>
      </c>
      <c r="B21" s="34" t="s">
        <v>923</v>
      </c>
      <c r="C21" s="34">
        <v>57.7</v>
      </c>
      <c r="D21" s="33" t="s">
        <v>41</v>
      </c>
      <c r="E21" s="34" t="s">
        <v>742</v>
      </c>
      <c r="F21" s="8">
        <v>5.3100000000000001E-2</v>
      </c>
      <c r="G21" s="8">
        <v>0.14699999999999999</v>
      </c>
      <c r="H21" s="9">
        <v>0</v>
      </c>
      <c r="I21" s="34" t="s">
        <v>60</v>
      </c>
      <c r="J21" s="19">
        <f t="shared" si="0"/>
        <v>3.4077782056218716E-4</v>
      </c>
    </row>
    <row r="22" spans="1:10" x14ac:dyDescent="0.15">
      <c r="A22" s="34" t="s">
        <v>66</v>
      </c>
      <c r="B22" s="34" t="s">
        <v>923</v>
      </c>
      <c r="C22" s="34">
        <v>57.7</v>
      </c>
      <c r="D22" s="33" t="s">
        <v>28</v>
      </c>
      <c r="E22" s="34" t="s">
        <v>742</v>
      </c>
      <c r="F22" s="8">
        <v>5.9380000000000002E-2</v>
      </c>
      <c r="G22" s="8">
        <v>9.1999999999999998E-2</v>
      </c>
      <c r="H22" s="9">
        <v>13</v>
      </c>
      <c r="I22" s="34" t="s">
        <v>60</v>
      </c>
      <c r="J22" s="19">
        <f t="shared" si="0"/>
        <v>5.9329465183498027E-4</v>
      </c>
    </row>
    <row r="23" spans="1:10" x14ac:dyDescent="0.15">
      <c r="A23" s="34" t="s">
        <v>66</v>
      </c>
      <c r="B23" s="34" t="s">
        <v>923</v>
      </c>
      <c r="C23" s="34">
        <v>57.7</v>
      </c>
      <c r="D23" s="33" t="s">
        <v>93</v>
      </c>
      <c r="E23" s="34" t="s">
        <v>742</v>
      </c>
      <c r="F23" s="8">
        <v>4.8800000000000003E-2</v>
      </c>
      <c r="G23" s="8">
        <v>5.5E-2</v>
      </c>
      <c r="H23" s="9">
        <v>32</v>
      </c>
      <c r="I23" s="34" t="s">
        <v>60</v>
      </c>
      <c r="J23" s="19">
        <f t="shared" si="0"/>
        <v>7.0985844069354357E-4</v>
      </c>
    </row>
    <row r="24" spans="1:10" x14ac:dyDescent="0.15">
      <c r="A24" s="34" t="s">
        <v>66</v>
      </c>
      <c r="B24" s="34" t="s">
        <v>923</v>
      </c>
      <c r="C24" s="34">
        <v>57.7</v>
      </c>
      <c r="D24" s="33" t="s">
        <v>46</v>
      </c>
      <c r="E24" s="34" t="s">
        <v>742</v>
      </c>
      <c r="F24" s="8">
        <v>2.2089999999999999E-2</v>
      </c>
      <c r="G24" s="8">
        <v>3.4000000000000002E-2</v>
      </c>
      <c r="H24" s="9">
        <v>25</v>
      </c>
      <c r="I24" s="34" t="s">
        <v>60</v>
      </c>
      <c r="J24" s="19">
        <f t="shared" si="0"/>
        <v>5.5550330232074347E-4</v>
      </c>
    </row>
    <row r="25" spans="1:10" x14ac:dyDescent="0.15">
      <c r="A25" s="34" t="s">
        <v>66</v>
      </c>
      <c r="B25" s="34" t="s">
        <v>923</v>
      </c>
      <c r="C25" s="34">
        <v>57.7</v>
      </c>
      <c r="D25" s="33" t="s">
        <v>48</v>
      </c>
      <c r="E25" s="34" t="s">
        <v>742</v>
      </c>
      <c r="F25" s="8">
        <v>9.5750000000000002E-2</v>
      </c>
      <c r="G25" s="8">
        <v>0.107</v>
      </c>
      <c r="H25" s="9">
        <v>0</v>
      </c>
      <c r="I25" s="34" t="s">
        <v>60</v>
      </c>
      <c r="J25" s="19">
        <f t="shared" si="0"/>
        <v>8.4420737083406802E-4</v>
      </c>
    </row>
    <row r="26" spans="1:10" s="22" customFormat="1" x14ac:dyDescent="0.15">
      <c r="A26" s="33" t="s">
        <v>66</v>
      </c>
      <c r="B26" s="34" t="s">
        <v>923</v>
      </c>
      <c r="C26" s="33">
        <v>57.7</v>
      </c>
      <c r="D26" s="33" t="s">
        <v>49</v>
      </c>
      <c r="E26" s="34" t="s">
        <v>742</v>
      </c>
      <c r="F26" s="8">
        <v>0.91027999999999998</v>
      </c>
      <c r="G26" s="8">
        <v>0.23699999999999999</v>
      </c>
      <c r="H26" s="9">
        <v>48</v>
      </c>
      <c r="I26" s="33" t="s">
        <v>60</v>
      </c>
      <c r="J26" s="22">
        <f t="shared" si="0"/>
        <v>2.4245530147135636E-3</v>
      </c>
    </row>
    <row r="27" spans="1:10" x14ac:dyDescent="0.15">
      <c r="A27" s="34" t="s">
        <v>66</v>
      </c>
      <c r="B27" s="34" t="s">
        <v>923</v>
      </c>
      <c r="C27" s="34">
        <v>57.7</v>
      </c>
      <c r="D27" s="33" t="s">
        <v>52</v>
      </c>
      <c r="E27" s="34" t="s">
        <v>743</v>
      </c>
      <c r="F27" s="8">
        <v>8.1500000000000003E-2</v>
      </c>
      <c r="G27" s="8">
        <v>3.5000000000000003E-2</v>
      </c>
      <c r="H27" s="9">
        <v>30</v>
      </c>
      <c r="I27" s="34" t="s">
        <v>60</v>
      </c>
      <c r="J27" s="19">
        <f t="shared" si="0"/>
        <v>1.9024547279900743E-3</v>
      </c>
    </row>
    <row r="28" spans="1:10" x14ac:dyDescent="0.15">
      <c r="A28" s="34" t="s">
        <v>66</v>
      </c>
      <c r="B28" s="34" t="s">
        <v>923</v>
      </c>
      <c r="C28" s="34">
        <v>57.7</v>
      </c>
      <c r="D28" s="33" t="s">
        <v>51</v>
      </c>
      <c r="E28" s="34" t="s">
        <v>743</v>
      </c>
      <c r="F28" s="8">
        <v>3.7900000000000003E-2</v>
      </c>
      <c r="G28" s="8">
        <v>9.0999999999999998E-2</v>
      </c>
      <c r="H28" s="9">
        <v>19</v>
      </c>
      <c r="I28" s="34" t="s">
        <v>60</v>
      </c>
      <c r="J28" s="19">
        <f t="shared" si="0"/>
        <v>3.7150273704348029E-4</v>
      </c>
    </row>
    <row r="29" spans="1:10" x14ac:dyDescent="0.15">
      <c r="A29" s="34" t="s">
        <v>66</v>
      </c>
      <c r="B29" s="34" t="s">
        <v>923</v>
      </c>
      <c r="C29" s="34">
        <v>57.7</v>
      </c>
      <c r="D29" s="33" t="s">
        <v>6</v>
      </c>
      <c r="E29" s="34" t="s">
        <v>743</v>
      </c>
      <c r="F29" s="8">
        <v>4.48E-2</v>
      </c>
      <c r="G29" s="8">
        <v>3.4000000000000002E-2</v>
      </c>
      <c r="H29" s="9">
        <v>24</v>
      </c>
      <c r="I29" s="34" t="s">
        <v>60</v>
      </c>
      <c r="J29" s="19">
        <f t="shared" si="0"/>
        <v>1.1355947975135549E-3</v>
      </c>
    </row>
    <row r="30" spans="1:10" x14ac:dyDescent="0.15">
      <c r="A30" s="34" t="s">
        <v>66</v>
      </c>
      <c r="B30" s="34" t="s">
        <v>923</v>
      </c>
      <c r="C30" s="34">
        <v>57.7</v>
      </c>
      <c r="D30" s="33" t="s">
        <v>7</v>
      </c>
      <c r="E30" s="34" t="s">
        <v>743</v>
      </c>
      <c r="F30" s="8">
        <v>1.281E-2</v>
      </c>
      <c r="G30" s="8">
        <v>3.7999999999999999E-2</v>
      </c>
      <c r="H30" s="9">
        <v>23</v>
      </c>
      <c r="I30" s="34" t="s">
        <v>60</v>
      </c>
      <c r="J30" s="19">
        <f t="shared" si="0"/>
        <v>2.9274248194453232E-4</v>
      </c>
    </row>
    <row r="31" spans="1:10" x14ac:dyDescent="0.15">
      <c r="A31" s="34" t="s">
        <v>66</v>
      </c>
      <c r="B31" s="34" t="s">
        <v>923</v>
      </c>
      <c r="C31" s="34">
        <v>57.7</v>
      </c>
      <c r="D31" s="33" t="s">
        <v>8</v>
      </c>
      <c r="E31" s="34" t="s">
        <v>743</v>
      </c>
      <c r="F31" s="8">
        <v>3.4889999999999997E-2</v>
      </c>
      <c r="G31" s="8">
        <v>3.5000000000000003E-2</v>
      </c>
      <c r="H31" s="9">
        <v>22</v>
      </c>
      <c r="I31" s="34" t="s">
        <v>60</v>
      </c>
      <c r="J31" s="19">
        <f t="shared" si="0"/>
        <v>8.7195268694973619E-4</v>
      </c>
    </row>
    <row r="32" spans="1:10" x14ac:dyDescent="0.15">
      <c r="A32" s="34" t="s">
        <v>66</v>
      </c>
      <c r="B32" s="34" t="s">
        <v>923</v>
      </c>
      <c r="C32" s="34">
        <v>57.7</v>
      </c>
      <c r="D32" s="33" t="s">
        <v>54</v>
      </c>
      <c r="E32" s="34" t="s">
        <v>743</v>
      </c>
      <c r="F32" s="8">
        <v>2.76E-2</v>
      </c>
      <c r="G32" s="8">
        <v>0.121</v>
      </c>
      <c r="H32" s="9">
        <v>0</v>
      </c>
      <c r="I32" s="34" t="s">
        <v>60</v>
      </c>
      <c r="J32" s="19">
        <f t="shared" si="0"/>
        <v>2.1518789957898022E-4</v>
      </c>
    </row>
    <row r="33" spans="1:10" x14ac:dyDescent="0.15">
      <c r="A33" s="34" t="s">
        <v>66</v>
      </c>
      <c r="B33" s="34" t="s">
        <v>923</v>
      </c>
      <c r="C33" s="34">
        <v>57.7</v>
      </c>
      <c r="D33" s="33" t="s">
        <v>257</v>
      </c>
      <c r="E33" s="34" t="s">
        <v>743</v>
      </c>
      <c r="F33" s="8">
        <v>9.2899999999999996E-3</v>
      </c>
      <c r="G33" s="8">
        <v>2.5000000000000001E-2</v>
      </c>
      <c r="H33" s="9">
        <v>25</v>
      </c>
      <c r="I33" s="34" t="s">
        <v>60</v>
      </c>
      <c r="J33" s="19">
        <f t="shared" ref="J33:J34" si="1">F33*COS(RADIANS(H33))/(1060*G33)</f>
        <v>3.1772072987058407E-4</v>
      </c>
    </row>
    <row r="34" spans="1:10" x14ac:dyDescent="0.15">
      <c r="A34" s="34" t="s">
        <v>66</v>
      </c>
      <c r="B34" s="34" t="s">
        <v>923</v>
      </c>
      <c r="C34" s="34">
        <v>57.7</v>
      </c>
      <c r="D34" s="33" t="s">
        <v>9</v>
      </c>
      <c r="E34" s="34" t="s">
        <v>743</v>
      </c>
      <c r="F34" s="8">
        <v>2.1850000000000001E-2</v>
      </c>
      <c r="G34" s="8">
        <v>2.5999999999999999E-2</v>
      </c>
      <c r="H34" s="9">
        <v>29</v>
      </c>
      <c r="I34" s="34" t="s">
        <v>60</v>
      </c>
      <c r="J34" s="19">
        <f t="shared" si="1"/>
        <v>6.9341221338881705E-4</v>
      </c>
    </row>
    <row r="35" spans="1:10" x14ac:dyDescent="0.15">
      <c r="A35" s="34" t="s">
        <v>66</v>
      </c>
      <c r="B35" s="34" t="s">
        <v>923</v>
      </c>
      <c r="C35" s="34">
        <v>57.7</v>
      </c>
      <c r="D35" s="33" t="s">
        <v>89</v>
      </c>
      <c r="E35" s="34" t="s">
        <v>743</v>
      </c>
      <c r="F35" s="8">
        <v>7.1799999999999998E-3</v>
      </c>
      <c r="G35" s="8">
        <v>2.4E-2</v>
      </c>
      <c r="H35" s="9">
        <v>27</v>
      </c>
      <c r="I35" s="34" t="s">
        <v>60</v>
      </c>
      <c r="J35" s="19">
        <f t="shared" ref="J35:J37" si="2">F35*COS(RADIANS(H35))/(1060*G35)</f>
        <v>2.5147118096196857E-4</v>
      </c>
    </row>
    <row r="36" spans="1:10" x14ac:dyDescent="0.15">
      <c r="A36" s="34" t="s">
        <v>66</v>
      </c>
      <c r="B36" s="34" t="s">
        <v>923</v>
      </c>
      <c r="C36" s="34">
        <v>57.7</v>
      </c>
      <c r="D36" s="33" t="s">
        <v>11</v>
      </c>
      <c r="E36" s="34" t="s">
        <v>743</v>
      </c>
      <c r="F36" s="8">
        <v>3.2919999999999998E-2</v>
      </c>
      <c r="G36" s="8">
        <v>2.4E-2</v>
      </c>
      <c r="H36" s="9">
        <v>30</v>
      </c>
      <c r="I36" s="34" t="s">
        <v>60</v>
      </c>
      <c r="J36" s="19">
        <f t="shared" ref="J36" si="3">F36*COS(RADIANS(H36))/(1060*G36)</f>
        <v>1.1206586592996744E-3</v>
      </c>
    </row>
    <row r="37" spans="1:10" x14ac:dyDescent="0.15">
      <c r="A37" s="31" t="s">
        <v>65</v>
      </c>
      <c r="B37" s="31" t="s">
        <v>923</v>
      </c>
      <c r="C37" s="31">
        <v>20.190000000000001</v>
      </c>
      <c r="D37" s="43" t="s">
        <v>12</v>
      </c>
      <c r="E37" s="31" t="s">
        <v>742</v>
      </c>
      <c r="F37" s="2">
        <v>4.7000000000000002E-3</v>
      </c>
      <c r="G37" s="2">
        <v>6.5420000000000006E-2</v>
      </c>
      <c r="H37" s="3">
        <v>0</v>
      </c>
      <c r="I37" s="31" t="s">
        <v>60</v>
      </c>
      <c r="J37" s="19">
        <f t="shared" si="2"/>
        <v>6.7776861267975283E-5</v>
      </c>
    </row>
    <row r="38" spans="1:10" x14ac:dyDescent="0.15">
      <c r="A38" s="31" t="s">
        <v>65</v>
      </c>
      <c r="B38" s="31" t="s">
        <v>923</v>
      </c>
      <c r="C38" s="31">
        <v>20.190000000000001</v>
      </c>
      <c r="D38" s="2" t="s">
        <v>13</v>
      </c>
      <c r="E38" s="31" t="s">
        <v>742</v>
      </c>
      <c r="F38" s="2">
        <v>2.1999999999999999E-2</v>
      </c>
      <c r="G38" s="2">
        <v>1.5059999999999999E-2</v>
      </c>
      <c r="H38" s="3">
        <v>16.600000000000001</v>
      </c>
      <c r="I38" s="43" t="s">
        <v>60</v>
      </c>
      <c r="J38" s="19">
        <f t="shared" ref="J38:J71" si="4">F38*COS(RADIANS(H38))/(1060*G38)</f>
        <v>1.3206981281310565E-3</v>
      </c>
    </row>
    <row r="39" spans="1:10" x14ac:dyDescent="0.15">
      <c r="A39" s="31" t="s">
        <v>65</v>
      </c>
      <c r="B39" s="31" t="s">
        <v>923</v>
      </c>
      <c r="C39" s="31">
        <v>20.190000000000001</v>
      </c>
      <c r="D39" s="2" t="s">
        <v>14</v>
      </c>
      <c r="E39" s="31" t="s">
        <v>742</v>
      </c>
      <c r="F39" s="2">
        <v>8.2000000000000007E-3</v>
      </c>
      <c r="G39" s="2">
        <v>1.3920000000000002E-2</v>
      </c>
      <c r="H39" s="3">
        <v>21.2</v>
      </c>
      <c r="I39" s="43" t="s">
        <v>60</v>
      </c>
      <c r="J39" s="19">
        <f t="shared" si="4"/>
        <v>5.1812616365533499E-4</v>
      </c>
    </row>
    <row r="40" spans="1:10" x14ac:dyDescent="0.15">
      <c r="A40" s="31" t="s">
        <v>65</v>
      </c>
      <c r="B40" s="31" t="s">
        <v>923</v>
      </c>
      <c r="C40" s="31">
        <v>20.190000000000001</v>
      </c>
      <c r="D40" s="43" t="s">
        <v>18</v>
      </c>
      <c r="E40" s="31" t="s">
        <v>742</v>
      </c>
      <c r="F40" s="2">
        <v>6.3E-3</v>
      </c>
      <c r="G40" s="2">
        <v>6.8440000000000001E-2</v>
      </c>
      <c r="H40" s="3">
        <v>0</v>
      </c>
      <c r="I40" s="31" t="s">
        <v>60</v>
      </c>
      <c r="J40" s="19">
        <f t="shared" si="4"/>
        <v>8.6840973501097228E-5</v>
      </c>
    </row>
    <row r="41" spans="1:10" x14ac:dyDescent="0.15">
      <c r="A41" s="31" t="s">
        <v>65</v>
      </c>
      <c r="B41" s="31" t="s">
        <v>923</v>
      </c>
      <c r="C41" s="31">
        <v>20.190000000000001</v>
      </c>
      <c r="D41" s="43" t="s">
        <v>17</v>
      </c>
      <c r="E41" s="31" t="s">
        <v>742</v>
      </c>
      <c r="F41" s="2">
        <v>1.46E-2</v>
      </c>
      <c r="G41" s="2">
        <v>5.4399999999999997E-2</v>
      </c>
      <c r="H41" s="3">
        <v>0</v>
      </c>
      <c r="I41" s="43" t="s">
        <v>60</v>
      </c>
      <c r="J41" s="19">
        <f t="shared" si="4"/>
        <v>2.5319089900110992E-4</v>
      </c>
    </row>
    <row r="42" spans="1:10" x14ac:dyDescent="0.15">
      <c r="A42" s="31" t="s">
        <v>65</v>
      </c>
      <c r="B42" s="31" t="s">
        <v>923</v>
      </c>
      <c r="C42" s="31">
        <v>20.190000000000001</v>
      </c>
      <c r="D42" s="43" t="s">
        <v>19</v>
      </c>
      <c r="E42" s="31" t="s">
        <v>742</v>
      </c>
      <c r="F42" s="2">
        <v>8.0000000000000002E-3</v>
      </c>
      <c r="G42" s="2">
        <v>8.4199999999999987E-3</v>
      </c>
      <c r="H42" s="3">
        <v>0</v>
      </c>
      <c r="I42" s="31" t="s">
        <v>60</v>
      </c>
      <c r="J42" s="19">
        <f t="shared" si="4"/>
        <v>8.9633845740151499E-4</v>
      </c>
    </row>
    <row r="43" spans="1:10" x14ac:dyDescent="0.15">
      <c r="A43" s="31" t="s">
        <v>65</v>
      </c>
      <c r="B43" s="31" t="s">
        <v>923</v>
      </c>
      <c r="C43" s="31">
        <v>20.190000000000001</v>
      </c>
      <c r="D43" s="43" t="s">
        <v>22</v>
      </c>
      <c r="E43" s="31" t="s">
        <v>742</v>
      </c>
      <c r="F43" s="2">
        <v>3.7499999999999999E-2</v>
      </c>
      <c r="G43" s="2">
        <v>3.9200000000000007E-3</v>
      </c>
      <c r="H43" s="3">
        <v>17.600000000000001</v>
      </c>
      <c r="I43" s="31" t="s">
        <v>60</v>
      </c>
      <c r="J43" s="19">
        <f t="shared" si="4"/>
        <v>8.6023897868298775E-3</v>
      </c>
    </row>
    <row r="44" spans="1:10" x14ac:dyDescent="0.15">
      <c r="A44" s="31" t="s">
        <v>65</v>
      </c>
      <c r="B44" s="31" t="s">
        <v>923</v>
      </c>
      <c r="C44" s="31">
        <v>20.190000000000001</v>
      </c>
      <c r="D44" s="43" t="s">
        <v>4</v>
      </c>
      <c r="E44" s="31" t="s">
        <v>742</v>
      </c>
      <c r="F44" s="2">
        <v>6.7000000000000002E-3</v>
      </c>
      <c r="G44" s="2">
        <v>9.7679999999999989E-2</v>
      </c>
      <c r="H44" s="3">
        <v>0</v>
      </c>
      <c r="I44" s="31" t="s">
        <v>60</v>
      </c>
      <c r="J44" s="19">
        <f t="shared" si="4"/>
        <v>6.4708791123885468E-5</v>
      </c>
    </row>
    <row r="45" spans="1:10" x14ac:dyDescent="0.15">
      <c r="A45" s="31" t="s">
        <v>65</v>
      </c>
      <c r="B45" s="31" t="s">
        <v>923</v>
      </c>
      <c r="C45" s="31">
        <v>20.190000000000001</v>
      </c>
      <c r="D45" s="43" t="s">
        <v>25</v>
      </c>
      <c r="E45" s="31" t="s">
        <v>742</v>
      </c>
      <c r="F45" s="2">
        <v>8.6E-3</v>
      </c>
      <c r="G45" s="2">
        <v>2.154E-2</v>
      </c>
      <c r="H45" s="3">
        <v>23.8</v>
      </c>
      <c r="I45" s="31" t="s">
        <v>60</v>
      </c>
      <c r="J45" s="19">
        <f t="shared" si="4"/>
        <v>3.4462663335910779E-4</v>
      </c>
    </row>
    <row r="46" spans="1:10" x14ac:dyDescent="0.15">
      <c r="A46" s="31" t="s">
        <v>65</v>
      </c>
      <c r="B46" s="31" t="s">
        <v>923</v>
      </c>
      <c r="C46" s="31">
        <v>20.190000000000001</v>
      </c>
      <c r="D46" s="43" t="s">
        <v>29</v>
      </c>
      <c r="E46" s="31" t="s">
        <v>742</v>
      </c>
      <c r="F46" s="2">
        <v>6.1400000000000003E-2</v>
      </c>
      <c r="G46" s="2">
        <v>0.12537999999999999</v>
      </c>
      <c r="H46" s="3">
        <v>0</v>
      </c>
      <c r="I46" s="43" t="s">
        <v>60</v>
      </c>
      <c r="J46" s="19">
        <f t="shared" si="4"/>
        <v>4.619917714299474E-4</v>
      </c>
    </row>
    <row r="47" spans="1:10" x14ac:dyDescent="0.15">
      <c r="A47" s="31" t="s">
        <v>65</v>
      </c>
      <c r="B47" s="31" t="s">
        <v>923</v>
      </c>
      <c r="C47" s="31">
        <v>20.190000000000001</v>
      </c>
      <c r="D47" s="43" t="s">
        <v>31</v>
      </c>
      <c r="E47" s="31" t="s">
        <v>742</v>
      </c>
      <c r="F47" s="2">
        <v>1.9900000000000001E-2</v>
      </c>
      <c r="G47" s="2">
        <v>6.0779999999999994E-2</v>
      </c>
      <c r="H47" s="3">
        <v>0</v>
      </c>
      <c r="I47" s="43" t="s">
        <v>60</v>
      </c>
      <c r="J47" s="19">
        <f t="shared" si="4"/>
        <v>3.088776720246854E-4</v>
      </c>
    </row>
    <row r="48" spans="1:10" x14ac:dyDescent="0.15">
      <c r="A48" s="31" t="s">
        <v>65</v>
      </c>
      <c r="B48" s="31" t="s">
        <v>923</v>
      </c>
      <c r="C48" s="31">
        <v>20.190000000000001</v>
      </c>
      <c r="D48" s="43" t="s">
        <v>33</v>
      </c>
      <c r="E48" s="31" t="s">
        <v>742</v>
      </c>
      <c r="F48" s="2">
        <v>3.9800000000000002E-2</v>
      </c>
      <c r="G48" s="2">
        <v>0.10546</v>
      </c>
      <c r="H48" s="3">
        <v>0</v>
      </c>
      <c r="I48" s="31" t="s">
        <v>60</v>
      </c>
      <c r="J48" s="19">
        <f t="shared" si="4"/>
        <v>3.5603233274531345E-4</v>
      </c>
    </row>
    <row r="49" spans="1:10" x14ac:dyDescent="0.15">
      <c r="A49" s="31" t="s">
        <v>65</v>
      </c>
      <c r="B49" s="31" t="s">
        <v>923</v>
      </c>
      <c r="C49" s="31">
        <v>20.190000000000001</v>
      </c>
      <c r="D49" s="43" t="s">
        <v>91</v>
      </c>
      <c r="E49" s="31" t="s">
        <v>742</v>
      </c>
      <c r="F49" s="2">
        <v>5.5999999999999999E-3</v>
      </c>
      <c r="G49" s="2">
        <v>9.7000000000000003E-2</v>
      </c>
      <c r="H49" s="3">
        <v>0</v>
      </c>
      <c r="I49" s="31" t="s">
        <v>60</v>
      </c>
      <c r="J49" s="19">
        <f t="shared" si="4"/>
        <v>5.4464112040459049E-5</v>
      </c>
    </row>
    <row r="50" spans="1:10" x14ac:dyDescent="0.15">
      <c r="A50" s="31" t="s">
        <v>65</v>
      </c>
      <c r="B50" s="31" t="s">
        <v>923</v>
      </c>
      <c r="C50" s="31">
        <v>20.190000000000001</v>
      </c>
      <c r="D50" s="43" t="s">
        <v>92</v>
      </c>
      <c r="E50" s="31" t="s">
        <v>742</v>
      </c>
      <c r="F50" s="2">
        <v>3.0700000000000002E-2</v>
      </c>
      <c r="G50" s="2">
        <v>0.127</v>
      </c>
      <c r="H50" s="3">
        <v>0</v>
      </c>
      <c r="I50" s="31" t="s">
        <v>60</v>
      </c>
      <c r="J50" s="19">
        <f t="shared" si="4"/>
        <v>2.2804932402317634E-4</v>
      </c>
    </row>
    <row r="51" spans="1:10" x14ac:dyDescent="0.15">
      <c r="A51" s="31" t="s">
        <v>65</v>
      </c>
      <c r="B51" s="31" t="s">
        <v>923</v>
      </c>
      <c r="C51" s="31">
        <v>20.190000000000001</v>
      </c>
      <c r="D51" s="43" t="s">
        <v>35</v>
      </c>
      <c r="E51" s="31" t="s">
        <v>742</v>
      </c>
      <c r="F51" s="2">
        <v>1.4999999999999999E-2</v>
      </c>
      <c r="G51" s="2">
        <v>0.10077999999999999</v>
      </c>
      <c r="H51" s="3">
        <v>0</v>
      </c>
      <c r="I51" s="31" t="s">
        <v>60</v>
      </c>
      <c r="J51" s="19">
        <f t="shared" si="4"/>
        <v>1.4041420317747981E-4</v>
      </c>
    </row>
    <row r="52" spans="1:10" x14ac:dyDescent="0.15">
      <c r="A52" s="31" t="s">
        <v>65</v>
      </c>
      <c r="B52" s="31" t="s">
        <v>923</v>
      </c>
      <c r="C52" s="31">
        <v>20.190000000000001</v>
      </c>
      <c r="D52" s="43" t="s">
        <v>90</v>
      </c>
      <c r="E52" s="31" t="s">
        <v>742</v>
      </c>
      <c r="F52" s="2">
        <v>4.0000000000000001E-3</v>
      </c>
      <c r="G52" s="2">
        <v>1.6E-2</v>
      </c>
      <c r="H52" s="3">
        <v>0</v>
      </c>
      <c r="I52" s="31" t="s">
        <v>60</v>
      </c>
      <c r="J52" s="19">
        <f t="shared" si="4"/>
        <v>2.3584905660377359E-4</v>
      </c>
    </row>
    <row r="53" spans="1:10" x14ac:dyDescent="0.15">
      <c r="A53" s="31" t="s">
        <v>65</v>
      </c>
      <c r="B53" s="31" t="s">
        <v>923</v>
      </c>
      <c r="C53" s="31">
        <v>20.190000000000001</v>
      </c>
      <c r="D53" s="43" t="s">
        <v>80</v>
      </c>
      <c r="E53" s="31" t="s">
        <v>742</v>
      </c>
      <c r="F53" s="2">
        <v>8.8000000000000005E-3</v>
      </c>
      <c r="G53" s="2">
        <v>0.09</v>
      </c>
      <c r="H53" s="3">
        <v>0</v>
      </c>
      <c r="I53" s="31" t="s">
        <v>60</v>
      </c>
      <c r="J53" s="19">
        <f t="shared" si="4"/>
        <v>9.2243186582809239E-5</v>
      </c>
    </row>
    <row r="54" spans="1:10" x14ac:dyDescent="0.15">
      <c r="A54" s="31" t="s">
        <v>65</v>
      </c>
      <c r="B54" s="31" t="s">
        <v>923</v>
      </c>
      <c r="C54" s="31">
        <v>20.190000000000001</v>
      </c>
      <c r="D54" s="43" t="s">
        <v>37</v>
      </c>
      <c r="E54" s="31" t="s">
        <v>742</v>
      </c>
      <c r="F54" s="2">
        <v>2.4400000000000002E-2</v>
      </c>
      <c r="G54" s="2">
        <v>8.4739999999999996E-2</v>
      </c>
      <c r="H54" s="3">
        <v>0</v>
      </c>
      <c r="I54" s="31" t="s">
        <v>60</v>
      </c>
      <c r="J54" s="19">
        <f t="shared" si="4"/>
        <v>2.7164111310512513E-4</v>
      </c>
    </row>
    <row r="55" spans="1:10" x14ac:dyDescent="0.15">
      <c r="A55" s="31" t="s">
        <v>65</v>
      </c>
      <c r="B55" s="31" t="s">
        <v>923</v>
      </c>
      <c r="C55" s="31">
        <v>20.190000000000001</v>
      </c>
      <c r="D55" s="43" t="s">
        <v>38</v>
      </c>
      <c r="E55" s="31" t="s">
        <v>742</v>
      </c>
      <c r="F55" s="2">
        <v>6.1999999999999998E-3</v>
      </c>
      <c r="G55" s="2">
        <v>7.6960000000000001E-2</v>
      </c>
      <c r="H55" s="3">
        <v>0</v>
      </c>
      <c r="I55" s="31" t="s">
        <v>60</v>
      </c>
      <c r="J55" s="19">
        <f t="shared" si="4"/>
        <v>7.6001255246538254E-5</v>
      </c>
    </row>
    <row r="56" spans="1:10" x14ac:dyDescent="0.15">
      <c r="A56" s="31" t="s">
        <v>65</v>
      </c>
      <c r="B56" s="31" t="s">
        <v>923</v>
      </c>
      <c r="C56" s="31">
        <v>20.190000000000001</v>
      </c>
      <c r="D56" s="43" t="s">
        <v>41</v>
      </c>
      <c r="E56" s="31" t="s">
        <v>742</v>
      </c>
      <c r="F56" s="2">
        <v>2.1000000000000001E-2</v>
      </c>
      <c r="G56" s="2">
        <v>6.8580000000000002E-2</v>
      </c>
      <c r="H56" s="3">
        <v>0</v>
      </c>
      <c r="I56" s="31" t="s">
        <v>60</v>
      </c>
      <c r="J56" s="19">
        <f t="shared" si="4"/>
        <v>2.8887898446656432E-4</v>
      </c>
    </row>
    <row r="57" spans="1:10" x14ac:dyDescent="0.15">
      <c r="A57" s="31" t="s">
        <v>65</v>
      </c>
      <c r="B57" s="31" t="s">
        <v>923</v>
      </c>
      <c r="C57" s="31">
        <v>20.190000000000001</v>
      </c>
      <c r="D57" s="43" t="s">
        <v>28</v>
      </c>
      <c r="E57" s="31" t="s">
        <v>742</v>
      </c>
      <c r="F57" s="2">
        <v>1.44E-2</v>
      </c>
      <c r="G57" s="2">
        <v>7.7520000000000006E-2</v>
      </c>
      <c r="H57" s="3">
        <v>0</v>
      </c>
      <c r="I57" s="31" t="s">
        <v>60</v>
      </c>
      <c r="J57" s="19">
        <f t="shared" si="4"/>
        <v>1.7524388106781937E-4</v>
      </c>
    </row>
    <row r="58" spans="1:10" x14ac:dyDescent="0.15">
      <c r="A58" s="31" t="s">
        <v>65</v>
      </c>
      <c r="B58" s="31" t="s">
        <v>923</v>
      </c>
      <c r="C58" s="31">
        <v>20.190000000000001</v>
      </c>
      <c r="D58" s="43" t="s">
        <v>93</v>
      </c>
      <c r="E58" s="31" t="s">
        <v>742</v>
      </c>
      <c r="F58" s="2">
        <v>1.41E-2</v>
      </c>
      <c r="G58" s="2">
        <v>4.2999999999999997E-2</v>
      </c>
      <c r="H58" s="3">
        <v>0</v>
      </c>
      <c r="I58" s="31" t="s">
        <v>60</v>
      </c>
      <c r="J58" s="19">
        <f t="shared" si="4"/>
        <v>3.0934620447564719E-4</v>
      </c>
    </row>
    <row r="59" spans="1:10" x14ac:dyDescent="0.15">
      <c r="A59" s="31" t="s">
        <v>65</v>
      </c>
      <c r="B59" s="31" t="s">
        <v>923</v>
      </c>
      <c r="C59" s="31">
        <v>20.190000000000001</v>
      </c>
      <c r="D59" s="43" t="s">
        <v>46</v>
      </c>
      <c r="E59" s="31" t="s">
        <v>742</v>
      </c>
      <c r="F59" s="2">
        <v>9.7000000000000003E-3</v>
      </c>
      <c r="G59" s="2">
        <v>4.5499999999999999E-2</v>
      </c>
      <c r="H59" s="3">
        <v>0</v>
      </c>
      <c r="I59" s="31" t="s">
        <v>60</v>
      </c>
      <c r="J59" s="19">
        <f t="shared" si="4"/>
        <v>2.0111963508189924E-4</v>
      </c>
    </row>
    <row r="60" spans="1:10" x14ac:dyDescent="0.15">
      <c r="A60" s="31" t="s">
        <v>65</v>
      </c>
      <c r="B60" s="31" t="s">
        <v>923</v>
      </c>
      <c r="C60" s="31">
        <v>20.190000000000001</v>
      </c>
      <c r="D60" s="43" t="s">
        <v>48</v>
      </c>
      <c r="E60" s="31" t="s">
        <v>742</v>
      </c>
      <c r="F60" s="2">
        <v>2.3800000000000002E-2</v>
      </c>
      <c r="G60" s="2">
        <v>1.2800000000000001E-2</v>
      </c>
      <c r="H60" s="3">
        <v>16</v>
      </c>
      <c r="I60" s="31" t="s">
        <v>60</v>
      </c>
      <c r="J60" s="19">
        <f t="shared" si="4"/>
        <v>1.6861754395144448E-3</v>
      </c>
    </row>
    <row r="61" spans="1:10" s="22" customFormat="1" x14ac:dyDescent="0.15">
      <c r="A61" s="43" t="s">
        <v>65</v>
      </c>
      <c r="B61" s="31" t="s">
        <v>923</v>
      </c>
      <c r="C61" s="43">
        <v>20.190000000000001</v>
      </c>
      <c r="D61" s="43" t="s">
        <v>49</v>
      </c>
      <c r="E61" s="31" t="s">
        <v>742</v>
      </c>
      <c r="F61" s="2">
        <v>0.31630000000000003</v>
      </c>
      <c r="G61" s="2">
        <v>0.10428461538461539</v>
      </c>
      <c r="H61" s="3">
        <v>1.7692307692307692</v>
      </c>
      <c r="I61" s="43" t="s">
        <v>60</v>
      </c>
      <c r="J61" s="22">
        <f t="shared" si="4"/>
        <v>2.8599997730567339E-3</v>
      </c>
    </row>
    <row r="62" spans="1:10" x14ac:dyDescent="0.15">
      <c r="A62" s="31" t="s">
        <v>65</v>
      </c>
      <c r="B62" s="31" t="s">
        <v>923</v>
      </c>
      <c r="C62" s="31">
        <v>20.190000000000001</v>
      </c>
      <c r="D62" s="43" t="s">
        <v>52</v>
      </c>
      <c r="E62" s="31" t="s">
        <v>743</v>
      </c>
      <c r="F62" s="2">
        <v>2.4E-2</v>
      </c>
      <c r="G62" s="2">
        <v>2.5559999999999999E-2</v>
      </c>
      <c r="H62" s="3">
        <v>36.799999999999997</v>
      </c>
      <c r="I62" s="31" t="s">
        <v>60</v>
      </c>
      <c r="J62" s="19">
        <f t="shared" si="4"/>
        <v>7.0930230396734303E-4</v>
      </c>
    </row>
    <row r="63" spans="1:10" x14ac:dyDescent="0.15">
      <c r="A63" s="31" t="s">
        <v>65</v>
      </c>
      <c r="B63" s="31" t="s">
        <v>923</v>
      </c>
      <c r="C63" s="31">
        <v>20.190000000000001</v>
      </c>
      <c r="D63" s="43" t="s">
        <v>51</v>
      </c>
      <c r="E63" s="31" t="s">
        <v>743</v>
      </c>
      <c r="F63" s="2">
        <v>9.5999999999999992E-3</v>
      </c>
      <c r="G63" s="2">
        <v>7.5039999999999996E-2</v>
      </c>
      <c r="H63" s="3">
        <v>0</v>
      </c>
      <c r="I63" s="31" t="s">
        <v>60</v>
      </c>
      <c r="J63" s="19">
        <f t="shared" si="4"/>
        <v>1.20690348795108E-4</v>
      </c>
    </row>
    <row r="64" spans="1:10" x14ac:dyDescent="0.15">
      <c r="A64" s="31" t="s">
        <v>65</v>
      </c>
      <c r="B64" s="31" t="s">
        <v>923</v>
      </c>
      <c r="C64" s="31">
        <v>20.190000000000001</v>
      </c>
      <c r="D64" s="43" t="s">
        <v>6</v>
      </c>
      <c r="E64" s="31" t="s">
        <v>743</v>
      </c>
      <c r="F64" s="2">
        <v>1.37E-2</v>
      </c>
      <c r="G64" s="2">
        <v>9.0799999999999995E-3</v>
      </c>
      <c r="H64" s="3">
        <v>17</v>
      </c>
      <c r="I64" s="31" t="s">
        <v>60</v>
      </c>
      <c r="J64" s="19">
        <f t="shared" si="4"/>
        <v>1.3612101193472682E-3</v>
      </c>
    </row>
    <row r="65" spans="1:10" x14ac:dyDescent="0.15">
      <c r="A65" s="31" t="s">
        <v>65</v>
      </c>
      <c r="B65" s="31" t="s">
        <v>923</v>
      </c>
      <c r="C65" s="31">
        <v>20.190000000000001</v>
      </c>
      <c r="D65" s="43" t="s">
        <v>7</v>
      </c>
      <c r="E65" s="31" t="s">
        <v>743</v>
      </c>
      <c r="F65" s="2">
        <v>8.3000000000000001E-3</v>
      </c>
      <c r="G65" s="2">
        <v>9.300000000000001E-3</v>
      </c>
      <c r="H65" s="3">
        <v>40.4</v>
      </c>
      <c r="I65" s="31" t="s">
        <v>60</v>
      </c>
      <c r="J65" s="19">
        <f t="shared" si="4"/>
        <v>6.4118157360062034E-4</v>
      </c>
    </row>
    <row r="66" spans="1:10" x14ac:dyDescent="0.15">
      <c r="A66" s="31" t="s">
        <v>65</v>
      </c>
      <c r="B66" s="31" t="s">
        <v>923</v>
      </c>
      <c r="C66" s="31">
        <v>20.190000000000001</v>
      </c>
      <c r="D66" s="43" t="s">
        <v>8</v>
      </c>
      <c r="E66" s="31" t="s">
        <v>743</v>
      </c>
      <c r="F66" s="2">
        <v>8.6999999999999994E-3</v>
      </c>
      <c r="G66" s="2">
        <v>5.9730000000000005E-2</v>
      </c>
      <c r="H66" s="3">
        <v>0</v>
      </c>
      <c r="I66" s="31" t="s">
        <v>60</v>
      </c>
      <c r="J66" s="19">
        <f t="shared" si="4"/>
        <v>1.3741080143665359E-4</v>
      </c>
    </row>
    <row r="67" spans="1:10" x14ac:dyDescent="0.15">
      <c r="A67" s="31" t="s">
        <v>65</v>
      </c>
      <c r="B67" s="31" t="s">
        <v>923</v>
      </c>
      <c r="C67" s="31">
        <v>20.190000000000001</v>
      </c>
      <c r="D67" s="43" t="s">
        <v>54</v>
      </c>
      <c r="E67" s="31" t="s">
        <v>743</v>
      </c>
      <c r="F67" s="2">
        <v>9.1000000000000004E-3</v>
      </c>
      <c r="G67" s="2">
        <v>6.8300000000000013E-2</v>
      </c>
      <c r="H67" s="3">
        <v>0</v>
      </c>
      <c r="I67" s="31" t="s">
        <v>60</v>
      </c>
      <c r="J67" s="19">
        <f t="shared" si="4"/>
        <v>1.2569407994695984E-4</v>
      </c>
    </row>
    <row r="68" spans="1:10" x14ac:dyDescent="0.15">
      <c r="A68" s="31" t="s">
        <v>65</v>
      </c>
      <c r="B68" s="31" t="s">
        <v>923</v>
      </c>
      <c r="C68" s="31">
        <v>20.190000000000001</v>
      </c>
      <c r="D68" s="43" t="s">
        <v>257</v>
      </c>
      <c r="E68" s="31" t="s">
        <v>743</v>
      </c>
      <c r="F68" s="2">
        <v>2.3E-3</v>
      </c>
      <c r="G68" s="2">
        <v>8.0000000000000002E-3</v>
      </c>
      <c r="H68" s="3">
        <v>33</v>
      </c>
      <c r="I68" s="31" t="s">
        <v>60</v>
      </c>
      <c r="J68" s="19">
        <f t="shared" ref="J68" si="5">F68*COS(RADIANS(H68))/(1060*G68)</f>
        <v>2.2746961158897114E-4</v>
      </c>
    </row>
    <row r="69" spans="1:10" x14ac:dyDescent="0.15">
      <c r="A69" s="31" t="s">
        <v>65</v>
      </c>
      <c r="B69" s="31" t="s">
        <v>923</v>
      </c>
      <c r="C69" s="31">
        <v>20.190000000000001</v>
      </c>
      <c r="D69" s="43" t="s">
        <v>9</v>
      </c>
      <c r="E69" s="31" t="s">
        <v>743</v>
      </c>
      <c r="F69" s="2">
        <v>3.2000000000000002E-3</v>
      </c>
      <c r="G69" s="2">
        <v>4.300000000000001E-2</v>
      </c>
      <c r="H69" s="3">
        <v>0</v>
      </c>
      <c r="I69" s="31" t="s">
        <v>60</v>
      </c>
      <c r="J69" s="19">
        <f t="shared" si="4"/>
        <v>7.0206230802983752E-5</v>
      </c>
    </row>
    <row r="70" spans="1:10" x14ac:dyDescent="0.15">
      <c r="A70" s="31" t="s">
        <v>65</v>
      </c>
      <c r="B70" s="31" t="s">
        <v>923</v>
      </c>
      <c r="C70" s="31">
        <v>20.190000000000001</v>
      </c>
      <c r="D70" s="43" t="s">
        <v>89</v>
      </c>
      <c r="E70" s="31" t="s">
        <v>743</v>
      </c>
      <c r="F70" s="2">
        <v>1.5E-3</v>
      </c>
      <c r="G70" s="2">
        <v>5.0999999999999997E-2</v>
      </c>
      <c r="H70" s="3">
        <v>0</v>
      </c>
      <c r="I70" s="31" t="s">
        <v>60</v>
      </c>
      <c r="J70" s="19">
        <f t="shared" si="4"/>
        <v>2.7746947835738073E-5</v>
      </c>
    </row>
    <row r="71" spans="1:10" x14ac:dyDescent="0.15">
      <c r="A71" s="31" t="s">
        <v>65</v>
      </c>
      <c r="B71" s="31" t="s">
        <v>923</v>
      </c>
      <c r="C71" s="31">
        <v>20.190000000000001</v>
      </c>
      <c r="D71" s="43" t="s">
        <v>11</v>
      </c>
      <c r="E71" s="31" t="s">
        <v>743</v>
      </c>
      <c r="F71" s="2">
        <v>8.9999999999999998E-4</v>
      </c>
      <c r="G71" s="2">
        <v>2.7E-2</v>
      </c>
      <c r="H71" s="3">
        <v>0</v>
      </c>
      <c r="I71" s="31" t="s">
        <v>60</v>
      </c>
      <c r="J71" s="19">
        <f t="shared" si="4"/>
        <v>3.1446540880503143E-5</v>
      </c>
    </row>
    <row r="72" spans="1:10" x14ac:dyDescent="0.15">
      <c r="A72" s="32" t="s">
        <v>914</v>
      </c>
      <c r="B72" s="32" t="s">
        <v>923</v>
      </c>
      <c r="C72" s="32">
        <v>27.7</v>
      </c>
      <c r="D72" s="44" t="s">
        <v>12</v>
      </c>
      <c r="E72" s="32" t="s">
        <v>742</v>
      </c>
      <c r="F72" s="5">
        <v>6.3499999999999997E-3</v>
      </c>
      <c r="G72" s="5">
        <v>0.1</v>
      </c>
      <c r="H72" s="6">
        <v>0</v>
      </c>
      <c r="I72" s="32" t="s">
        <v>60</v>
      </c>
      <c r="J72" s="19">
        <f t="shared" ref="J72:J106" si="6">F72*COS(RADIANS(H72))/(1060*G72)</f>
        <v>5.9905660377358486E-5</v>
      </c>
    </row>
    <row r="73" spans="1:10" x14ac:dyDescent="0.15">
      <c r="A73" s="32" t="s">
        <v>914</v>
      </c>
      <c r="B73" s="32" t="s">
        <v>923</v>
      </c>
      <c r="C73" s="32">
        <v>27.7</v>
      </c>
      <c r="D73" s="5" t="s">
        <v>13</v>
      </c>
      <c r="E73" s="32" t="s">
        <v>742</v>
      </c>
      <c r="F73" s="5">
        <v>5.5469999999999998E-2</v>
      </c>
      <c r="G73" s="5">
        <v>5.7500000000000002E-2</v>
      </c>
      <c r="H73" s="6">
        <v>11.25</v>
      </c>
      <c r="I73" s="44" t="s">
        <v>60</v>
      </c>
      <c r="J73" s="19">
        <f t="shared" si="6"/>
        <v>8.9260310917091358E-4</v>
      </c>
    </row>
    <row r="74" spans="1:10" x14ac:dyDescent="0.15">
      <c r="A74" s="32" t="s">
        <v>914</v>
      </c>
      <c r="B74" s="32" t="s">
        <v>923</v>
      </c>
      <c r="C74" s="32">
        <v>27.7</v>
      </c>
      <c r="D74" s="5" t="s">
        <v>14</v>
      </c>
      <c r="E74" s="32" t="s">
        <v>742</v>
      </c>
      <c r="F74" s="5">
        <v>9.6299999999999997E-3</v>
      </c>
      <c r="G74" s="5">
        <v>5.2000000000000005E-2</v>
      </c>
      <c r="H74" s="6">
        <v>31</v>
      </c>
      <c r="I74" s="44" t="s">
        <v>60</v>
      </c>
      <c r="J74" s="19">
        <f t="shared" si="6"/>
        <v>1.4975546273151923E-4</v>
      </c>
    </row>
    <row r="75" spans="1:10" x14ac:dyDescent="0.15">
      <c r="A75" s="32" t="s">
        <v>914</v>
      </c>
      <c r="B75" s="32" t="s">
        <v>923</v>
      </c>
      <c r="C75" s="32">
        <v>27.7</v>
      </c>
      <c r="D75" s="44" t="s">
        <v>18</v>
      </c>
      <c r="E75" s="32" t="s">
        <v>742</v>
      </c>
      <c r="F75" s="5">
        <v>1.8429999999999998E-2</v>
      </c>
      <c r="G75" s="5">
        <v>8.1400000000000014E-2</v>
      </c>
      <c r="H75" s="6">
        <v>0</v>
      </c>
      <c r="I75" s="44" t="s">
        <v>60</v>
      </c>
      <c r="J75" s="19">
        <f t="shared" si="6"/>
        <v>2.1359695887997768E-4</v>
      </c>
    </row>
    <row r="76" spans="1:10" x14ac:dyDescent="0.15">
      <c r="A76" s="32" t="s">
        <v>914</v>
      </c>
      <c r="B76" s="32" t="s">
        <v>923</v>
      </c>
      <c r="C76" s="32">
        <v>27.7</v>
      </c>
      <c r="D76" s="44" t="s">
        <v>17</v>
      </c>
      <c r="E76" s="32" t="s">
        <v>742</v>
      </c>
      <c r="F76" s="5">
        <v>6.7799999999999996E-3</v>
      </c>
      <c r="G76" s="5">
        <v>3.6600000000000001E-2</v>
      </c>
      <c r="H76" s="6">
        <v>13.333333333333334</v>
      </c>
      <c r="I76" s="44" t="s">
        <v>60</v>
      </c>
      <c r="J76" s="19">
        <f t="shared" si="6"/>
        <v>1.7004959847745141E-4</v>
      </c>
    </row>
    <row r="77" spans="1:10" x14ac:dyDescent="0.15">
      <c r="A77" s="32" t="s">
        <v>914</v>
      </c>
      <c r="B77" s="32" t="s">
        <v>923</v>
      </c>
      <c r="C77" s="32">
        <v>27.7</v>
      </c>
      <c r="D77" s="44" t="s">
        <v>19</v>
      </c>
      <c r="E77" s="32" t="s">
        <v>742</v>
      </c>
      <c r="F77" s="5">
        <v>1.248E-2</v>
      </c>
      <c r="G77" s="5">
        <v>3.85E-2</v>
      </c>
      <c r="H77" s="6">
        <v>36</v>
      </c>
      <c r="I77" s="32" t="s">
        <v>60</v>
      </c>
      <c r="J77" s="19">
        <f t="shared" si="6"/>
        <v>2.4740338372456123E-4</v>
      </c>
    </row>
    <row r="78" spans="1:10" x14ac:dyDescent="0.15">
      <c r="A78" s="32" t="s">
        <v>914</v>
      </c>
      <c r="B78" s="32" t="s">
        <v>923</v>
      </c>
      <c r="C78" s="32">
        <v>27.7</v>
      </c>
      <c r="D78" s="44" t="s">
        <v>22</v>
      </c>
      <c r="E78" s="32" t="s">
        <v>742</v>
      </c>
      <c r="F78" s="5">
        <v>5.5800000000000002E-2</v>
      </c>
      <c r="G78" s="5">
        <v>6.6799999999999998E-2</v>
      </c>
      <c r="H78" s="6">
        <v>34</v>
      </c>
      <c r="I78" s="32" t="s">
        <v>60</v>
      </c>
      <c r="J78" s="19">
        <f t="shared" si="6"/>
        <v>6.5332019755636839E-4</v>
      </c>
    </row>
    <row r="79" spans="1:10" x14ac:dyDescent="0.15">
      <c r="A79" s="32" t="s">
        <v>914</v>
      </c>
      <c r="B79" s="32" t="s">
        <v>923</v>
      </c>
      <c r="C79" s="32">
        <v>27.7</v>
      </c>
      <c r="D79" s="44" t="s">
        <v>4</v>
      </c>
      <c r="E79" s="32" t="s">
        <v>742</v>
      </c>
      <c r="F79" s="5">
        <v>1.304E-2</v>
      </c>
      <c r="G79" s="5">
        <v>0.154</v>
      </c>
      <c r="H79" s="6">
        <v>31.666666666666668</v>
      </c>
      <c r="I79" s="32" t="s">
        <v>60</v>
      </c>
      <c r="J79" s="19">
        <f t="shared" si="6"/>
        <v>6.7989226957721607E-5</v>
      </c>
    </row>
    <row r="80" spans="1:10" x14ac:dyDescent="0.15">
      <c r="A80" s="32" t="s">
        <v>914</v>
      </c>
      <c r="B80" s="32" t="s">
        <v>923</v>
      </c>
      <c r="C80" s="32">
        <v>27.7</v>
      </c>
      <c r="D80" s="44" t="s">
        <v>25</v>
      </c>
      <c r="E80" s="32" t="s">
        <v>742</v>
      </c>
      <c r="F80" s="5">
        <v>2.0999999999999999E-3</v>
      </c>
      <c r="G80" s="5">
        <v>0.06</v>
      </c>
      <c r="H80" s="6">
        <v>30</v>
      </c>
      <c r="I80" s="32" t="s">
        <v>60</v>
      </c>
      <c r="J80" s="19">
        <f t="shared" si="6"/>
        <v>2.8595178426844673E-5</v>
      </c>
    </row>
    <row r="81" spans="1:10" x14ac:dyDescent="0.15">
      <c r="A81" s="32" t="s">
        <v>914</v>
      </c>
      <c r="B81" s="32" t="s">
        <v>923</v>
      </c>
      <c r="C81" s="32">
        <v>27.7</v>
      </c>
      <c r="D81" s="44" t="s">
        <v>29</v>
      </c>
      <c r="E81" s="32" t="s">
        <v>742</v>
      </c>
      <c r="F81" s="5">
        <v>9.7689999999999999E-2</v>
      </c>
      <c r="G81" s="5">
        <v>0.12</v>
      </c>
      <c r="H81" s="6">
        <v>0</v>
      </c>
      <c r="I81" s="44" t="s">
        <v>60</v>
      </c>
      <c r="J81" s="19">
        <f t="shared" si="6"/>
        <v>7.6800314465408815E-4</v>
      </c>
    </row>
    <row r="82" spans="1:10" x14ac:dyDescent="0.15">
      <c r="A82" s="32" t="s">
        <v>914</v>
      </c>
      <c r="B82" s="32" t="s">
        <v>923</v>
      </c>
      <c r="C82" s="32">
        <v>27.7</v>
      </c>
      <c r="D82" s="44" t="s">
        <v>31</v>
      </c>
      <c r="E82" s="32" t="s">
        <v>742</v>
      </c>
      <c r="F82" s="5">
        <v>2.0920999999999999E-2</v>
      </c>
      <c r="G82" s="5">
        <v>7.5999999999999998E-2</v>
      </c>
      <c r="H82" s="6">
        <v>0</v>
      </c>
      <c r="I82" s="44" t="s">
        <v>60</v>
      </c>
      <c r="J82" s="19">
        <f t="shared" si="6"/>
        <v>2.5969463753723929E-4</v>
      </c>
    </row>
    <row r="83" spans="1:10" x14ac:dyDescent="0.15">
      <c r="A83" s="32" t="s">
        <v>914</v>
      </c>
      <c r="B83" s="32" t="s">
        <v>923</v>
      </c>
      <c r="C83" s="32">
        <v>27.7</v>
      </c>
      <c r="D83" s="44" t="s">
        <v>33</v>
      </c>
      <c r="E83" s="32" t="s">
        <v>742</v>
      </c>
      <c r="F83" s="5">
        <v>4.163E-2</v>
      </c>
      <c r="G83" s="5">
        <v>0.15259999999999999</v>
      </c>
      <c r="H83" s="6">
        <v>0</v>
      </c>
      <c r="I83" s="32" t="s">
        <v>60</v>
      </c>
      <c r="J83" s="19">
        <f t="shared" si="6"/>
        <v>2.5736294171468141E-4</v>
      </c>
    </row>
    <row r="84" spans="1:10" x14ac:dyDescent="0.15">
      <c r="A84" s="32" t="s">
        <v>914</v>
      </c>
      <c r="B84" s="32" t="s">
        <v>923</v>
      </c>
      <c r="C84" s="32">
        <v>27.7</v>
      </c>
      <c r="D84" s="44" t="s">
        <v>91</v>
      </c>
      <c r="E84" s="32" t="s">
        <v>742</v>
      </c>
      <c r="F84" s="5">
        <v>9.2899999999999996E-3</v>
      </c>
      <c r="G84" s="5">
        <v>0.16</v>
      </c>
      <c r="H84" s="6">
        <v>0</v>
      </c>
      <c r="I84" s="32" t="s">
        <v>60</v>
      </c>
      <c r="J84" s="19">
        <f t="shared" si="6"/>
        <v>5.4775943396226417E-5</v>
      </c>
    </row>
    <row r="85" spans="1:10" x14ac:dyDescent="0.15">
      <c r="A85" s="32" t="s">
        <v>914</v>
      </c>
      <c r="B85" s="32" t="s">
        <v>923</v>
      </c>
      <c r="C85" s="32">
        <v>27.7</v>
      </c>
      <c r="D85" s="44" t="s">
        <v>92</v>
      </c>
      <c r="E85" s="32" t="s">
        <v>742</v>
      </c>
      <c r="F85" s="5">
        <v>3.61E-2</v>
      </c>
      <c r="G85" s="5">
        <v>0.193</v>
      </c>
      <c r="H85" s="6">
        <v>0</v>
      </c>
      <c r="I85" s="32" t="s">
        <v>60</v>
      </c>
      <c r="J85" s="19">
        <f t="shared" si="6"/>
        <v>1.7645908690976634E-4</v>
      </c>
    </row>
    <row r="86" spans="1:10" x14ac:dyDescent="0.15">
      <c r="A86" s="32" t="s">
        <v>914</v>
      </c>
      <c r="B86" s="32" t="s">
        <v>923</v>
      </c>
      <c r="C86" s="32">
        <v>27.7</v>
      </c>
      <c r="D86" s="44" t="s">
        <v>35</v>
      </c>
      <c r="E86" s="32" t="s">
        <v>742</v>
      </c>
      <c r="F86" s="5">
        <v>1.1860000000000001E-2</v>
      </c>
      <c r="G86" s="5">
        <v>7.3999999999999996E-2</v>
      </c>
      <c r="H86" s="6">
        <v>18</v>
      </c>
      <c r="I86" s="32" t="s">
        <v>60</v>
      </c>
      <c r="J86" s="19">
        <f t="shared" si="6"/>
        <v>1.4379819331030753E-4</v>
      </c>
    </row>
    <row r="87" spans="1:10" x14ac:dyDescent="0.15">
      <c r="A87" s="32" t="s">
        <v>914</v>
      </c>
      <c r="B87" s="32" t="s">
        <v>923</v>
      </c>
      <c r="C87" s="32">
        <v>27.7</v>
      </c>
      <c r="D87" s="44" t="s">
        <v>90</v>
      </c>
      <c r="E87" s="32" t="s">
        <v>742</v>
      </c>
      <c r="F87" s="5">
        <v>2.98E-3</v>
      </c>
      <c r="G87" s="5">
        <v>0.115</v>
      </c>
      <c r="H87" s="6">
        <v>0</v>
      </c>
      <c r="I87" s="32" t="s">
        <v>60</v>
      </c>
      <c r="J87" s="19">
        <f t="shared" si="6"/>
        <v>2.4446267432321574E-5</v>
      </c>
    </row>
    <row r="88" spans="1:10" x14ac:dyDescent="0.15">
      <c r="A88" s="32" t="s">
        <v>914</v>
      </c>
      <c r="B88" s="32" t="s">
        <v>923</v>
      </c>
      <c r="C88" s="32">
        <v>27.7</v>
      </c>
      <c r="D88" s="44" t="s">
        <v>80</v>
      </c>
      <c r="E88" s="32" t="s">
        <v>742</v>
      </c>
      <c r="F88" s="5">
        <v>1.372E-2</v>
      </c>
      <c r="G88" s="5">
        <v>0.127</v>
      </c>
      <c r="H88" s="6">
        <v>0</v>
      </c>
      <c r="I88" s="32" t="s">
        <v>60</v>
      </c>
      <c r="J88" s="19">
        <f t="shared" si="6"/>
        <v>1.0191650571980389E-4</v>
      </c>
    </row>
    <row r="89" spans="1:10" x14ac:dyDescent="0.15">
      <c r="A89" s="32" t="s">
        <v>914</v>
      </c>
      <c r="B89" s="32" t="s">
        <v>923</v>
      </c>
      <c r="C89" s="32">
        <v>27.7</v>
      </c>
      <c r="D89" s="44" t="s">
        <v>37</v>
      </c>
      <c r="E89" s="32" t="s">
        <v>742</v>
      </c>
      <c r="F89" s="5">
        <v>2.8170000000000001E-2</v>
      </c>
      <c r="G89" s="5">
        <v>0.14119999999999999</v>
      </c>
      <c r="H89" s="6">
        <v>0</v>
      </c>
      <c r="I89" s="32" t="s">
        <v>60</v>
      </c>
      <c r="J89" s="19">
        <f t="shared" si="6"/>
        <v>1.8821155593564597E-4</v>
      </c>
    </row>
    <row r="90" spans="1:10" x14ac:dyDescent="0.15">
      <c r="A90" s="32" t="s">
        <v>914</v>
      </c>
      <c r="B90" s="32" t="s">
        <v>923</v>
      </c>
      <c r="C90" s="32">
        <v>27.7</v>
      </c>
      <c r="D90" s="44" t="s">
        <v>38</v>
      </c>
      <c r="E90" s="32" t="s">
        <v>742</v>
      </c>
      <c r="F90" s="5">
        <v>5.3699999999999998E-3</v>
      </c>
      <c r="G90" s="5">
        <v>0.13</v>
      </c>
      <c r="H90" s="6">
        <v>0</v>
      </c>
      <c r="I90" s="32" t="s">
        <v>60</v>
      </c>
      <c r="J90" s="19">
        <f t="shared" si="6"/>
        <v>3.8969521044992741E-5</v>
      </c>
    </row>
    <row r="91" spans="1:10" x14ac:dyDescent="0.15">
      <c r="A91" s="32" t="s">
        <v>914</v>
      </c>
      <c r="B91" s="32" t="s">
        <v>923</v>
      </c>
      <c r="C91" s="32">
        <v>27.7</v>
      </c>
      <c r="D91" s="44" t="s">
        <v>41</v>
      </c>
      <c r="E91" s="32" t="s">
        <v>742</v>
      </c>
      <c r="F91" s="5">
        <v>2.6499999999999999E-2</v>
      </c>
      <c r="G91" s="5">
        <v>5.683333333333334E-2</v>
      </c>
      <c r="H91" s="6">
        <v>23.333333333333332</v>
      </c>
      <c r="I91" s="32" t="s">
        <v>60</v>
      </c>
      <c r="J91" s="19">
        <f t="shared" si="6"/>
        <v>4.0390737839308239E-4</v>
      </c>
    </row>
    <row r="92" spans="1:10" x14ac:dyDescent="0.15">
      <c r="A92" s="32" t="s">
        <v>914</v>
      </c>
      <c r="B92" s="32" t="s">
        <v>923</v>
      </c>
      <c r="C92" s="32">
        <v>27.7</v>
      </c>
      <c r="D92" s="44" t="s">
        <v>28</v>
      </c>
      <c r="E92" s="32" t="s">
        <v>742</v>
      </c>
      <c r="F92" s="5">
        <v>1.8700000000000001E-2</v>
      </c>
      <c r="G92" s="5">
        <v>0.10666666666666667</v>
      </c>
      <c r="H92" s="6">
        <v>0</v>
      </c>
      <c r="I92" s="32" t="s">
        <v>60</v>
      </c>
      <c r="J92" s="19">
        <f t="shared" si="6"/>
        <v>1.6538915094339624E-4</v>
      </c>
    </row>
    <row r="93" spans="1:10" x14ac:dyDescent="0.15">
      <c r="A93" s="32" t="s">
        <v>914</v>
      </c>
      <c r="B93" s="32" t="s">
        <v>923</v>
      </c>
      <c r="C93" s="32">
        <v>27.7</v>
      </c>
      <c r="D93" s="44" t="s">
        <v>93</v>
      </c>
      <c r="E93" s="32" t="s">
        <v>742</v>
      </c>
      <c r="F93" s="5">
        <v>1.4579999999999999E-2</v>
      </c>
      <c r="G93" s="5">
        <v>7.8E-2</v>
      </c>
      <c r="H93" s="6">
        <v>22</v>
      </c>
      <c r="I93" s="32" t="s">
        <v>60</v>
      </c>
      <c r="J93" s="19">
        <f t="shared" si="6"/>
        <v>1.6350194242360617E-4</v>
      </c>
    </row>
    <row r="94" spans="1:10" x14ac:dyDescent="0.15">
      <c r="A94" s="32" t="s">
        <v>914</v>
      </c>
      <c r="B94" s="32" t="s">
        <v>923</v>
      </c>
      <c r="C94" s="32">
        <v>27.7</v>
      </c>
      <c r="D94" s="44" t="s">
        <v>46</v>
      </c>
      <c r="E94" s="32" t="s">
        <v>742</v>
      </c>
      <c r="F94" s="5">
        <v>1.226E-2</v>
      </c>
      <c r="G94" s="5">
        <v>3.7999999999999999E-2</v>
      </c>
      <c r="H94" s="6">
        <v>15</v>
      </c>
      <c r="I94" s="32" t="s">
        <v>60</v>
      </c>
      <c r="J94" s="19">
        <f t="shared" si="6"/>
        <v>2.9399827781290908E-4</v>
      </c>
    </row>
    <row r="95" spans="1:10" x14ac:dyDescent="0.15">
      <c r="A95" s="32" t="s">
        <v>914</v>
      </c>
      <c r="B95" s="32" t="s">
        <v>923</v>
      </c>
      <c r="C95" s="32">
        <v>27.7</v>
      </c>
      <c r="D95" s="44" t="s">
        <v>48</v>
      </c>
      <c r="E95" s="32" t="s">
        <v>742</v>
      </c>
      <c r="F95" s="5">
        <v>2.5940000000000001E-2</v>
      </c>
      <c r="G95" s="5">
        <v>0.01</v>
      </c>
      <c r="H95" s="6">
        <v>0</v>
      </c>
      <c r="I95" s="32" t="s">
        <v>60</v>
      </c>
      <c r="J95" s="19">
        <f t="shared" si="6"/>
        <v>2.4471698113207548E-3</v>
      </c>
    </row>
    <row r="96" spans="1:10" s="22" customFormat="1" x14ac:dyDescent="0.15">
      <c r="A96" s="32" t="s">
        <v>914</v>
      </c>
      <c r="B96" s="32" t="s">
        <v>923</v>
      </c>
      <c r="C96" s="44">
        <v>27.7</v>
      </c>
      <c r="D96" s="44" t="s">
        <v>49</v>
      </c>
      <c r="E96" s="32" t="s">
        <v>742</v>
      </c>
      <c r="F96" s="5">
        <v>0.32952999999999999</v>
      </c>
      <c r="G96" s="5">
        <v>0.16162499999999999</v>
      </c>
      <c r="H96" s="6">
        <v>35</v>
      </c>
      <c r="I96" s="44" t="s">
        <v>60</v>
      </c>
      <c r="J96" s="22">
        <f t="shared" si="6"/>
        <v>1.5755967438868302E-3</v>
      </c>
    </row>
    <row r="97" spans="1:10" x14ac:dyDescent="0.15">
      <c r="A97" s="32" t="s">
        <v>914</v>
      </c>
      <c r="B97" s="32" t="s">
        <v>923</v>
      </c>
      <c r="C97" s="32">
        <v>27.7</v>
      </c>
      <c r="D97" s="44" t="s">
        <v>52</v>
      </c>
      <c r="E97" s="32" t="s">
        <v>743</v>
      </c>
      <c r="F97" s="5">
        <v>3.075E-2</v>
      </c>
      <c r="G97" s="5">
        <v>4.4333333333333336E-2</v>
      </c>
      <c r="H97" s="6">
        <v>28</v>
      </c>
      <c r="I97" s="32" t="s">
        <v>60</v>
      </c>
      <c r="J97" s="19">
        <f t="shared" si="6"/>
        <v>5.7775511023716835E-4</v>
      </c>
    </row>
    <row r="98" spans="1:10" x14ac:dyDescent="0.15">
      <c r="A98" s="32" t="s">
        <v>914</v>
      </c>
      <c r="B98" s="32" t="s">
        <v>923</v>
      </c>
      <c r="C98" s="32">
        <v>27.7</v>
      </c>
      <c r="D98" s="44" t="s">
        <v>51</v>
      </c>
      <c r="E98" s="32" t="s">
        <v>743</v>
      </c>
      <c r="F98" s="5">
        <v>8.3300000000000006E-3</v>
      </c>
      <c r="G98" s="5">
        <v>8.7750000000000009E-2</v>
      </c>
      <c r="H98" s="6">
        <v>0</v>
      </c>
      <c r="I98" s="32" t="s">
        <v>60</v>
      </c>
      <c r="J98" s="19">
        <f t="shared" si="6"/>
        <v>8.9555448046014073E-5</v>
      </c>
    </row>
    <row r="99" spans="1:10" x14ac:dyDescent="0.15">
      <c r="A99" s="32" t="s">
        <v>914</v>
      </c>
      <c r="B99" s="32" t="s">
        <v>923</v>
      </c>
      <c r="C99" s="32">
        <v>27.7</v>
      </c>
      <c r="D99" s="44" t="s">
        <v>6</v>
      </c>
      <c r="E99" s="32" t="s">
        <v>743</v>
      </c>
      <c r="F99" s="5">
        <v>1.3950000000000001E-2</v>
      </c>
      <c r="G99" s="5">
        <v>3.1E-2</v>
      </c>
      <c r="H99" s="6">
        <v>25</v>
      </c>
      <c r="I99" s="32" t="s">
        <v>60</v>
      </c>
      <c r="J99" s="19">
        <f t="shared" si="6"/>
        <v>3.8475330581744574E-4</v>
      </c>
    </row>
    <row r="100" spans="1:10" x14ac:dyDescent="0.15">
      <c r="A100" s="32" t="s">
        <v>914</v>
      </c>
      <c r="B100" s="32" t="s">
        <v>923</v>
      </c>
      <c r="C100" s="32">
        <v>27.7</v>
      </c>
      <c r="D100" s="44" t="s">
        <v>7</v>
      </c>
      <c r="E100" s="32" t="s">
        <v>743</v>
      </c>
      <c r="F100" s="5">
        <v>3.8899999999999998E-3</v>
      </c>
      <c r="G100" s="5">
        <v>3.2000000000000001E-2</v>
      </c>
      <c r="H100" s="6">
        <v>18.333333333333332</v>
      </c>
      <c r="I100" s="32" t="s">
        <v>60</v>
      </c>
      <c r="J100" s="19">
        <f t="shared" si="6"/>
        <v>1.0886066873523295E-4</v>
      </c>
    </row>
    <row r="101" spans="1:10" x14ac:dyDescent="0.15">
      <c r="A101" s="32" t="s">
        <v>914</v>
      </c>
      <c r="B101" s="32" t="s">
        <v>923</v>
      </c>
      <c r="C101" s="32">
        <v>27.7</v>
      </c>
      <c r="D101" s="44" t="s">
        <v>8</v>
      </c>
      <c r="E101" s="32" t="s">
        <v>743</v>
      </c>
      <c r="F101" s="5">
        <v>1.359E-2</v>
      </c>
      <c r="G101" s="5">
        <v>7.5799999999999992E-2</v>
      </c>
      <c r="H101" s="6">
        <v>13.333333333333334</v>
      </c>
      <c r="I101" s="32" t="s">
        <v>60</v>
      </c>
      <c r="J101" s="19">
        <f t="shared" si="6"/>
        <v>1.6458007406755371E-4</v>
      </c>
    </row>
    <row r="102" spans="1:10" x14ac:dyDescent="0.15">
      <c r="A102" s="32" t="s">
        <v>914</v>
      </c>
      <c r="B102" s="32" t="s">
        <v>923</v>
      </c>
      <c r="C102" s="32">
        <v>27.7</v>
      </c>
      <c r="D102" s="44" t="s">
        <v>54</v>
      </c>
      <c r="E102" s="32" t="s">
        <v>743</v>
      </c>
      <c r="F102" s="5">
        <v>1.0057E-2</v>
      </c>
      <c r="G102" s="5">
        <v>7.4200000000000002E-2</v>
      </c>
      <c r="H102" s="6">
        <v>0</v>
      </c>
      <c r="I102" s="32" t="s">
        <v>60</v>
      </c>
      <c r="J102" s="19">
        <f t="shared" si="6"/>
        <v>1.2786705996033158E-4</v>
      </c>
    </row>
    <row r="103" spans="1:10" x14ac:dyDescent="0.15">
      <c r="A103" s="32" t="s">
        <v>914</v>
      </c>
      <c r="B103" s="32" t="s">
        <v>923</v>
      </c>
      <c r="C103" s="32">
        <v>27.7</v>
      </c>
      <c r="D103" s="44" t="s">
        <v>257</v>
      </c>
      <c r="E103" s="32" t="s">
        <v>743</v>
      </c>
      <c r="F103" s="5">
        <v>4.1000000000000003E-3</v>
      </c>
      <c r="G103" s="5">
        <v>2.5000000000000001E-2</v>
      </c>
      <c r="H103" s="6">
        <v>23</v>
      </c>
      <c r="I103" s="32" t="s">
        <v>60</v>
      </c>
      <c r="J103" s="19">
        <f t="shared" ref="J103" si="7">F103*COS(RADIANS(H103))/(1060*G103)</f>
        <v>1.4241773204358514E-4</v>
      </c>
    </row>
    <row r="104" spans="1:10" x14ac:dyDescent="0.15">
      <c r="A104" s="32" t="s">
        <v>914</v>
      </c>
      <c r="B104" s="32" t="s">
        <v>923</v>
      </c>
      <c r="C104" s="32">
        <v>27.7</v>
      </c>
      <c r="D104" s="44" t="s">
        <v>9</v>
      </c>
      <c r="E104" s="32" t="s">
        <v>743</v>
      </c>
      <c r="F104" s="5">
        <v>7.4099999999999999E-3</v>
      </c>
      <c r="G104" s="5">
        <v>3.2799999999999996E-2</v>
      </c>
      <c r="H104" s="6">
        <v>26.25</v>
      </c>
      <c r="I104" s="32" t="s">
        <v>60</v>
      </c>
      <c r="J104" s="19">
        <f t="shared" si="6"/>
        <v>1.9114780875394675E-4</v>
      </c>
    </row>
    <row r="105" spans="1:10" x14ac:dyDescent="0.15">
      <c r="A105" s="32" t="s">
        <v>914</v>
      </c>
      <c r="B105" s="32" t="s">
        <v>923</v>
      </c>
      <c r="C105" s="32">
        <v>27.7</v>
      </c>
      <c r="D105" s="44" t="s">
        <v>89</v>
      </c>
      <c r="E105" s="32" t="s">
        <v>743</v>
      </c>
      <c r="F105" s="5">
        <v>3.3899999999999998E-3</v>
      </c>
      <c r="G105" s="5">
        <v>2.9000000000000001E-2</v>
      </c>
      <c r="H105" s="6">
        <v>12</v>
      </c>
      <c r="I105" s="32" t="s">
        <v>60</v>
      </c>
      <c r="J105" s="19">
        <f t="shared" si="6"/>
        <v>1.0786988830473652E-4</v>
      </c>
    </row>
    <row r="106" spans="1:10" x14ac:dyDescent="0.15">
      <c r="A106" s="32" t="s">
        <v>914</v>
      </c>
      <c r="B106" s="32" t="s">
        <v>923</v>
      </c>
      <c r="C106" s="32">
        <v>27.7</v>
      </c>
      <c r="D106" s="44" t="s">
        <v>11</v>
      </c>
      <c r="E106" s="32" t="s">
        <v>743</v>
      </c>
      <c r="F106" s="5">
        <v>1.6729999999999998E-2</v>
      </c>
      <c r="G106" s="5">
        <v>3.4000000000000002E-2</v>
      </c>
      <c r="H106" s="6">
        <v>7</v>
      </c>
      <c r="I106" s="32" t="s">
        <v>60</v>
      </c>
      <c r="J106" s="19">
        <f t="shared" si="6"/>
        <v>4.6074631290120185E-4</v>
      </c>
    </row>
    <row r="107" spans="1:10" x14ac:dyDescent="0.15">
      <c r="A107" s="33" t="s">
        <v>64</v>
      </c>
      <c r="B107" s="33" t="s">
        <v>923</v>
      </c>
      <c r="C107" s="33">
        <v>278</v>
      </c>
      <c r="D107" s="33" t="s">
        <v>12</v>
      </c>
      <c r="E107" s="34" t="s">
        <v>742</v>
      </c>
      <c r="F107" s="8">
        <v>3.1399999999999997E-2</v>
      </c>
      <c r="G107" s="8">
        <v>0.151</v>
      </c>
      <c r="H107" s="8">
        <v>0</v>
      </c>
      <c r="I107" s="33" t="s">
        <v>60</v>
      </c>
      <c r="J107" s="19">
        <f t="shared" ref="J107:J141" si="8">F107*COS(RADIANS(H107))/(1060*G107)</f>
        <v>1.9617643383731099E-4</v>
      </c>
    </row>
    <row r="108" spans="1:10" x14ac:dyDescent="0.15">
      <c r="A108" s="33" t="s">
        <v>64</v>
      </c>
      <c r="B108" s="33" t="s">
        <v>923</v>
      </c>
      <c r="C108" s="33">
        <v>278</v>
      </c>
      <c r="D108" s="8" t="s">
        <v>13</v>
      </c>
      <c r="E108" s="34" t="s">
        <v>742</v>
      </c>
      <c r="F108" s="8">
        <v>0.24540000000000001</v>
      </c>
      <c r="G108" s="8">
        <v>7.3999999999999996E-2</v>
      </c>
      <c r="H108" s="8">
        <v>32</v>
      </c>
      <c r="I108" s="33" t="s">
        <v>60</v>
      </c>
      <c r="J108" s="19">
        <f t="shared" si="8"/>
        <v>2.6531234420804047E-3</v>
      </c>
    </row>
    <row r="109" spans="1:10" x14ac:dyDescent="0.15">
      <c r="A109" s="33" t="s">
        <v>64</v>
      </c>
      <c r="B109" s="33" t="s">
        <v>923</v>
      </c>
      <c r="C109" s="33">
        <v>278</v>
      </c>
      <c r="D109" s="8" t="s">
        <v>14</v>
      </c>
      <c r="E109" s="34" t="s">
        <v>742</v>
      </c>
      <c r="F109" s="8">
        <v>6.7799999999999999E-2</v>
      </c>
      <c r="G109" s="8">
        <v>7.5999999999999998E-2</v>
      </c>
      <c r="H109" s="8">
        <v>20</v>
      </c>
      <c r="I109" s="33" t="s">
        <v>60</v>
      </c>
      <c r="J109" s="19">
        <f t="shared" si="8"/>
        <v>7.9085352146579676E-4</v>
      </c>
    </row>
    <row r="110" spans="1:10" x14ac:dyDescent="0.15">
      <c r="A110" s="33" t="s">
        <v>64</v>
      </c>
      <c r="B110" s="33" t="s">
        <v>923</v>
      </c>
      <c r="C110" s="33">
        <v>278</v>
      </c>
      <c r="D110" s="33" t="s">
        <v>18</v>
      </c>
      <c r="E110" s="34" t="s">
        <v>742</v>
      </c>
      <c r="F110" s="8">
        <v>0.1366</v>
      </c>
      <c r="G110" s="8">
        <v>0.112</v>
      </c>
      <c r="H110" s="8">
        <v>21</v>
      </c>
      <c r="I110" s="33" t="s">
        <v>60</v>
      </c>
      <c r="J110" s="19">
        <f t="shared" si="8"/>
        <v>1.0741836780619757E-3</v>
      </c>
    </row>
    <row r="111" spans="1:10" x14ac:dyDescent="0.15">
      <c r="A111" s="33" t="s">
        <v>64</v>
      </c>
      <c r="B111" s="33" t="s">
        <v>923</v>
      </c>
      <c r="C111" s="33">
        <v>278</v>
      </c>
      <c r="D111" s="33" t="s">
        <v>17</v>
      </c>
      <c r="E111" s="34" t="s">
        <v>742</v>
      </c>
      <c r="F111" s="8">
        <v>3.1199999999999999E-2</v>
      </c>
      <c r="G111" s="8">
        <v>5.2999999999999999E-2</v>
      </c>
      <c r="H111" s="8">
        <v>28</v>
      </c>
      <c r="I111" s="33" t="s">
        <v>60</v>
      </c>
      <c r="J111" s="19">
        <f t="shared" si="8"/>
        <v>4.9035181376287868E-4</v>
      </c>
    </row>
    <row r="112" spans="1:10" x14ac:dyDescent="0.15">
      <c r="A112" s="33" t="s">
        <v>64</v>
      </c>
      <c r="B112" s="33" t="s">
        <v>923</v>
      </c>
      <c r="C112" s="33">
        <v>278</v>
      </c>
      <c r="D112" s="33" t="s">
        <v>19</v>
      </c>
      <c r="E112" s="34" t="s">
        <v>742</v>
      </c>
      <c r="F112" s="8">
        <v>9.1200000000000003E-2</v>
      </c>
      <c r="G112" s="8">
        <v>6.0999999999999999E-2</v>
      </c>
      <c r="H112" s="8">
        <v>28</v>
      </c>
      <c r="I112" s="34" t="s">
        <v>60</v>
      </c>
      <c r="J112" s="19">
        <f t="shared" si="8"/>
        <v>1.2453575698845368E-3</v>
      </c>
    </row>
    <row r="113" spans="1:10" x14ac:dyDescent="0.15">
      <c r="A113" s="33" t="s">
        <v>64</v>
      </c>
      <c r="B113" s="33" t="s">
        <v>923</v>
      </c>
      <c r="C113" s="33">
        <v>278</v>
      </c>
      <c r="D113" s="33" t="s">
        <v>22</v>
      </c>
      <c r="E113" s="34" t="s">
        <v>742</v>
      </c>
      <c r="F113" s="8">
        <v>0.41520000000000001</v>
      </c>
      <c r="G113" s="8">
        <v>9.7000000000000003E-2</v>
      </c>
      <c r="H113" s="8">
        <v>27</v>
      </c>
      <c r="I113" s="33" t="s">
        <v>60</v>
      </c>
      <c r="J113" s="19">
        <f t="shared" si="8"/>
        <v>3.5979956121669943E-3</v>
      </c>
    </row>
    <row r="114" spans="1:10" x14ac:dyDescent="0.15">
      <c r="A114" s="33" t="s">
        <v>64</v>
      </c>
      <c r="B114" s="33" t="s">
        <v>923</v>
      </c>
      <c r="C114" s="33">
        <v>278</v>
      </c>
      <c r="D114" s="33" t="s">
        <v>4</v>
      </c>
      <c r="E114" s="34" t="s">
        <v>742</v>
      </c>
      <c r="F114" s="8">
        <v>8.7400000000000005E-2</v>
      </c>
      <c r="G114" s="8">
        <v>0.22600000000000001</v>
      </c>
      <c r="H114" s="8">
        <v>0</v>
      </c>
      <c r="I114" s="33" t="s">
        <v>60</v>
      </c>
      <c r="J114" s="19">
        <f t="shared" si="8"/>
        <v>3.6483553180831525E-4</v>
      </c>
    </row>
    <row r="115" spans="1:10" x14ac:dyDescent="0.15">
      <c r="A115" s="33" t="s">
        <v>64</v>
      </c>
      <c r="B115" s="33" t="s">
        <v>923</v>
      </c>
      <c r="C115" s="33">
        <v>278</v>
      </c>
      <c r="D115" s="33" t="s">
        <v>25</v>
      </c>
      <c r="E115" s="34" t="s">
        <v>742</v>
      </c>
      <c r="F115" s="8">
        <v>9.8599999999999993E-2</v>
      </c>
      <c r="G115" s="8">
        <v>8.8999999999999996E-2</v>
      </c>
      <c r="H115" s="8">
        <v>27</v>
      </c>
      <c r="I115" s="33" t="s">
        <v>60</v>
      </c>
      <c r="J115" s="19">
        <f t="shared" si="8"/>
        <v>9.3124065385809924E-4</v>
      </c>
    </row>
    <row r="116" spans="1:10" x14ac:dyDescent="0.15">
      <c r="A116" s="33" t="s">
        <v>64</v>
      </c>
      <c r="B116" s="33" t="s">
        <v>923</v>
      </c>
      <c r="C116" s="33">
        <v>278</v>
      </c>
      <c r="D116" s="33" t="s">
        <v>29</v>
      </c>
      <c r="E116" s="34" t="s">
        <v>742</v>
      </c>
      <c r="F116" s="8">
        <v>0.52200000000000002</v>
      </c>
      <c r="G116" s="8">
        <v>0.16500000000000001</v>
      </c>
      <c r="H116" s="8">
        <v>12</v>
      </c>
      <c r="I116" s="33" t="s">
        <v>60</v>
      </c>
      <c r="J116" s="19">
        <f t="shared" si="8"/>
        <v>2.9193427534765382E-3</v>
      </c>
    </row>
    <row r="117" spans="1:10" x14ac:dyDescent="0.15">
      <c r="A117" s="33" t="s">
        <v>64</v>
      </c>
      <c r="B117" s="33" t="s">
        <v>923</v>
      </c>
      <c r="C117" s="33">
        <v>278</v>
      </c>
      <c r="D117" s="33" t="s">
        <v>31</v>
      </c>
      <c r="E117" s="34" t="s">
        <v>742</v>
      </c>
      <c r="F117" s="8">
        <v>0.18160000000000001</v>
      </c>
      <c r="G117" s="8">
        <v>0.186</v>
      </c>
      <c r="H117" s="8">
        <v>0</v>
      </c>
      <c r="I117" s="33" t="s">
        <v>60</v>
      </c>
      <c r="J117" s="19">
        <f t="shared" si="8"/>
        <v>9.2107932643538252E-4</v>
      </c>
    </row>
    <row r="118" spans="1:10" x14ac:dyDescent="0.15">
      <c r="A118" s="33" t="s">
        <v>64</v>
      </c>
      <c r="B118" s="33" t="s">
        <v>923</v>
      </c>
      <c r="C118" s="33">
        <v>278</v>
      </c>
      <c r="D118" s="33" t="s">
        <v>33</v>
      </c>
      <c r="E118" s="34" t="s">
        <v>742</v>
      </c>
      <c r="F118" s="8">
        <v>0.29980000000000001</v>
      </c>
      <c r="G118" s="8">
        <v>0.20599999999999999</v>
      </c>
      <c r="H118" s="8">
        <v>0</v>
      </c>
      <c r="I118" s="33" t="s">
        <v>60</v>
      </c>
      <c r="J118" s="19">
        <f t="shared" si="8"/>
        <v>1.3729620809672103E-3</v>
      </c>
    </row>
    <row r="119" spans="1:10" x14ac:dyDescent="0.15">
      <c r="A119" s="33" t="s">
        <v>64</v>
      </c>
      <c r="B119" s="33" t="s">
        <v>923</v>
      </c>
      <c r="C119" s="33">
        <v>278</v>
      </c>
      <c r="D119" s="33" t="s">
        <v>91</v>
      </c>
      <c r="E119" s="34" t="s">
        <v>742</v>
      </c>
      <c r="F119" s="8">
        <v>4.4999999999999998E-2</v>
      </c>
      <c r="G119" s="8">
        <v>0.23100000000000001</v>
      </c>
      <c r="H119" s="8">
        <v>0</v>
      </c>
      <c r="I119" s="33" t="s">
        <v>60</v>
      </c>
      <c r="J119" s="19">
        <f t="shared" si="8"/>
        <v>1.837784856652781E-4</v>
      </c>
    </row>
    <row r="120" spans="1:10" x14ac:dyDescent="0.15">
      <c r="A120" s="33" t="s">
        <v>64</v>
      </c>
      <c r="B120" s="33" t="s">
        <v>923</v>
      </c>
      <c r="C120" s="33">
        <v>278</v>
      </c>
      <c r="D120" s="33" t="s">
        <v>92</v>
      </c>
      <c r="E120" s="34" t="s">
        <v>742</v>
      </c>
      <c r="F120" s="8">
        <v>0.17119999999999999</v>
      </c>
      <c r="G120" s="8">
        <v>0.28999999999999998</v>
      </c>
      <c r="H120" s="8">
        <v>0</v>
      </c>
      <c r="I120" s="33" t="s">
        <v>60</v>
      </c>
      <c r="J120" s="19">
        <f t="shared" si="8"/>
        <v>5.569290826284971E-4</v>
      </c>
    </row>
    <row r="121" spans="1:10" x14ac:dyDescent="0.15">
      <c r="A121" s="33" t="s">
        <v>64</v>
      </c>
      <c r="B121" s="33" t="s">
        <v>923</v>
      </c>
      <c r="C121" s="33">
        <v>278</v>
      </c>
      <c r="D121" s="33" t="s">
        <v>35</v>
      </c>
      <c r="E121" s="34" t="s">
        <v>742</v>
      </c>
      <c r="F121" s="8">
        <v>9.2600000000000002E-2</v>
      </c>
      <c r="G121" s="8">
        <v>0.15</v>
      </c>
      <c r="H121" s="8">
        <v>0</v>
      </c>
      <c r="I121" s="33" t="s">
        <v>60</v>
      </c>
      <c r="J121" s="19">
        <f t="shared" si="8"/>
        <v>5.8238993710691821E-4</v>
      </c>
    </row>
    <row r="122" spans="1:10" x14ac:dyDescent="0.15">
      <c r="A122" s="33" t="s">
        <v>64</v>
      </c>
      <c r="B122" s="33" t="s">
        <v>923</v>
      </c>
      <c r="C122" s="33">
        <v>278</v>
      </c>
      <c r="D122" s="33" t="s">
        <v>90</v>
      </c>
      <c r="E122" s="34" t="s">
        <v>742</v>
      </c>
      <c r="F122" s="8">
        <v>2.5399999999999999E-2</v>
      </c>
      <c r="G122" s="8">
        <v>0.18</v>
      </c>
      <c r="H122" s="8">
        <v>0</v>
      </c>
      <c r="I122" s="33" t="s">
        <v>60</v>
      </c>
      <c r="J122" s="19">
        <f t="shared" si="8"/>
        <v>1.3312368972746331E-4</v>
      </c>
    </row>
    <row r="123" spans="1:10" x14ac:dyDescent="0.15">
      <c r="A123" s="33" t="s">
        <v>64</v>
      </c>
      <c r="B123" s="33" t="s">
        <v>923</v>
      </c>
      <c r="C123" s="33">
        <v>278</v>
      </c>
      <c r="D123" s="33" t="s">
        <v>80</v>
      </c>
      <c r="E123" s="34" t="s">
        <v>742</v>
      </c>
      <c r="F123" s="8">
        <v>0.12759999999999999</v>
      </c>
      <c r="G123" s="8">
        <v>0.22800000000000001</v>
      </c>
      <c r="H123" s="8">
        <v>10</v>
      </c>
      <c r="I123" s="33" t="s">
        <v>60</v>
      </c>
      <c r="J123" s="19">
        <f t="shared" si="8"/>
        <v>5.1994980670455864E-4</v>
      </c>
    </row>
    <row r="124" spans="1:10" x14ac:dyDescent="0.15">
      <c r="A124" s="33" t="s">
        <v>64</v>
      </c>
      <c r="B124" s="33" t="s">
        <v>923</v>
      </c>
      <c r="C124" s="33">
        <v>278</v>
      </c>
      <c r="D124" s="33" t="s">
        <v>37</v>
      </c>
      <c r="E124" s="34" t="s">
        <v>742</v>
      </c>
      <c r="F124" s="8">
        <v>0.26800000000000002</v>
      </c>
      <c r="G124" s="8">
        <v>0.151</v>
      </c>
      <c r="H124" s="9">
        <v>0</v>
      </c>
      <c r="I124" s="33" t="s">
        <v>60</v>
      </c>
      <c r="J124" s="19">
        <f t="shared" si="8"/>
        <v>1.6743721104585782E-3</v>
      </c>
    </row>
    <row r="125" spans="1:10" x14ac:dyDescent="0.15">
      <c r="A125" s="33" t="s">
        <v>64</v>
      </c>
      <c r="B125" s="33" t="s">
        <v>923</v>
      </c>
      <c r="C125" s="33">
        <v>278</v>
      </c>
      <c r="D125" s="33" t="s">
        <v>38</v>
      </c>
      <c r="E125" s="34" t="s">
        <v>742</v>
      </c>
      <c r="F125" s="8">
        <v>4.9599999999999998E-2</v>
      </c>
      <c r="G125" s="8">
        <v>0.19900000000000001</v>
      </c>
      <c r="H125" s="9">
        <v>0</v>
      </c>
      <c r="I125" s="33" t="s">
        <v>60</v>
      </c>
      <c r="J125" s="19">
        <f t="shared" si="8"/>
        <v>2.3513795392054613E-4</v>
      </c>
    </row>
    <row r="126" spans="1:10" x14ac:dyDescent="0.15">
      <c r="A126" s="33" t="s">
        <v>64</v>
      </c>
      <c r="B126" s="33" t="s">
        <v>923</v>
      </c>
      <c r="C126" s="33">
        <v>278</v>
      </c>
      <c r="D126" s="33" t="s">
        <v>41</v>
      </c>
      <c r="E126" s="34" t="s">
        <v>742</v>
      </c>
      <c r="F126" s="8">
        <v>4.4999999999999998E-2</v>
      </c>
      <c r="G126" s="8">
        <v>9.8000000000000004E-2</v>
      </c>
      <c r="H126" s="9">
        <v>0</v>
      </c>
      <c r="I126" s="33" t="s">
        <v>60</v>
      </c>
      <c r="J126" s="19">
        <f t="shared" si="8"/>
        <v>4.3319214478244124E-4</v>
      </c>
    </row>
    <row r="127" spans="1:10" x14ac:dyDescent="0.15">
      <c r="A127" s="33" t="s">
        <v>64</v>
      </c>
      <c r="B127" s="33" t="s">
        <v>923</v>
      </c>
      <c r="C127" s="33">
        <v>278</v>
      </c>
      <c r="D127" s="33" t="s">
        <v>28</v>
      </c>
      <c r="E127" s="34" t="s">
        <v>742</v>
      </c>
      <c r="F127" s="8">
        <v>3.4000000000000002E-2</v>
      </c>
      <c r="G127" s="8">
        <v>4.7E-2</v>
      </c>
      <c r="H127" s="8">
        <v>16</v>
      </c>
      <c r="I127" s="33" t="s">
        <v>60</v>
      </c>
      <c r="J127" s="19">
        <f t="shared" si="8"/>
        <v>6.5601962388403946E-4</v>
      </c>
    </row>
    <row r="128" spans="1:10" x14ac:dyDescent="0.15">
      <c r="A128" s="33" t="s">
        <v>64</v>
      </c>
      <c r="B128" s="33" t="s">
        <v>923</v>
      </c>
      <c r="C128" s="33">
        <v>278</v>
      </c>
      <c r="D128" s="33" t="s">
        <v>93</v>
      </c>
      <c r="E128" s="34" t="s">
        <v>742</v>
      </c>
      <c r="F128" s="8">
        <v>9.6000000000000002E-2</v>
      </c>
      <c r="G128" s="8">
        <v>6.4000000000000001E-2</v>
      </c>
      <c r="H128" s="8">
        <v>25</v>
      </c>
      <c r="I128" s="33" t="s">
        <v>60</v>
      </c>
      <c r="J128" s="19">
        <f t="shared" si="8"/>
        <v>1.2825110193914857E-3</v>
      </c>
    </row>
    <row r="129" spans="1:10" x14ac:dyDescent="0.15">
      <c r="A129" s="33" t="s">
        <v>64</v>
      </c>
      <c r="B129" s="33" t="s">
        <v>923</v>
      </c>
      <c r="C129" s="33">
        <v>278</v>
      </c>
      <c r="D129" s="33" t="s">
        <v>46</v>
      </c>
      <c r="E129" s="34" t="s">
        <v>742</v>
      </c>
      <c r="F129" s="8">
        <v>5.8000000000000003E-2</v>
      </c>
      <c r="G129" s="8">
        <v>5.6000000000000001E-2</v>
      </c>
      <c r="H129" s="8">
        <v>18</v>
      </c>
      <c r="I129" s="33" t="s">
        <v>60</v>
      </c>
      <c r="J129" s="19">
        <f t="shared" si="8"/>
        <v>9.2926681174391697E-4</v>
      </c>
    </row>
    <row r="130" spans="1:10" x14ac:dyDescent="0.15">
      <c r="A130" s="33" t="s">
        <v>64</v>
      </c>
      <c r="B130" s="33" t="s">
        <v>923</v>
      </c>
      <c r="C130" s="33">
        <v>278</v>
      </c>
      <c r="D130" s="33" t="s">
        <v>48</v>
      </c>
      <c r="E130" s="34" t="s">
        <v>742</v>
      </c>
      <c r="F130" s="8">
        <v>6.6600000000000006E-2</v>
      </c>
      <c r="G130" s="8">
        <v>5.2999999999999999E-2</v>
      </c>
      <c r="H130" s="8">
        <v>25</v>
      </c>
      <c r="I130" s="34" t="s">
        <v>60</v>
      </c>
      <c r="J130" s="19">
        <f t="shared" si="8"/>
        <v>1.0744054577543768E-3</v>
      </c>
    </row>
    <row r="131" spans="1:10" s="22" customFormat="1" x14ac:dyDescent="0.15">
      <c r="A131" s="33" t="s">
        <v>64</v>
      </c>
      <c r="B131" s="33" t="s">
        <v>923</v>
      </c>
      <c r="C131" s="33">
        <v>278</v>
      </c>
      <c r="D131" s="33" t="s">
        <v>49</v>
      </c>
      <c r="E131" s="34" t="s">
        <v>742</v>
      </c>
      <c r="F131" s="8">
        <v>2.3479999999999999</v>
      </c>
      <c r="G131" s="8">
        <v>0.24</v>
      </c>
      <c r="H131" s="8">
        <v>23</v>
      </c>
      <c r="I131" s="33" t="s">
        <v>60</v>
      </c>
      <c r="J131" s="22">
        <f t="shared" si="8"/>
        <v>8.4958545436569569E-3</v>
      </c>
    </row>
    <row r="132" spans="1:10" x14ac:dyDescent="0.15">
      <c r="A132" s="33" t="s">
        <v>64</v>
      </c>
      <c r="B132" s="33" t="s">
        <v>923</v>
      </c>
      <c r="C132" s="33">
        <v>278</v>
      </c>
      <c r="D132" s="33" t="s">
        <v>52</v>
      </c>
      <c r="E132" s="34" t="s">
        <v>743</v>
      </c>
      <c r="F132" s="8">
        <v>0.3266</v>
      </c>
      <c r="G132" s="8">
        <v>0.109</v>
      </c>
      <c r="H132" s="8">
        <v>39</v>
      </c>
      <c r="I132" s="33" t="s">
        <v>60</v>
      </c>
      <c r="J132" s="19">
        <f t="shared" si="8"/>
        <v>2.1967792194205185E-3</v>
      </c>
    </row>
    <row r="133" spans="1:10" x14ac:dyDescent="0.15">
      <c r="A133" s="33" t="s">
        <v>64</v>
      </c>
      <c r="B133" s="33" t="s">
        <v>923</v>
      </c>
      <c r="C133" s="33">
        <v>278</v>
      </c>
      <c r="D133" s="33" t="s">
        <v>51</v>
      </c>
      <c r="E133" s="34" t="s">
        <v>743</v>
      </c>
      <c r="F133" s="8">
        <v>7.2700000000000001E-2</v>
      </c>
      <c r="G133" s="8">
        <v>0.17100000000000001</v>
      </c>
      <c r="H133" s="8">
        <v>0</v>
      </c>
      <c r="I133" s="33" t="s">
        <v>60</v>
      </c>
      <c r="J133" s="19">
        <f t="shared" si="8"/>
        <v>4.0108131965132957E-4</v>
      </c>
    </row>
    <row r="134" spans="1:10" x14ac:dyDescent="0.15">
      <c r="A134" s="33" t="s">
        <v>64</v>
      </c>
      <c r="B134" s="33" t="s">
        <v>923</v>
      </c>
      <c r="C134" s="33">
        <v>278</v>
      </c>
      <c r="D134" s="33" t="s">
        <v>6</v>
      </c>
      <c r="E134" s="34" t="s">
        <v>743</v>
      </c>
      <c r="F134" s="8">
        <v>0.10879999999999999</v>
      </c>
      <c r="G134" s="8">
        <v>7.0999999999999994E-2</v>
      </c>
      <c r="H134" s="8">
        <v>21</v>
      </c>
      <c r="I134" s="33" t="s">
        <v>60</v>
      </c>
      <c r="J134" s="19">
        <f t="shared" si="8"/>
        <v>1.3496352697700712E-3</v>
      </c>
    </row>
    <row r="135" spans="1:10" x14ac:dyDescent="0.15">
      <c r="A135" s="33" t="s">
        <v>64</v>
      </c>
      <c r="B135" s="33" t="s">
        <v>923</v>
      </c>
      <c r="C135" s="33">
        <v>278</v>
      </c>
      <c r="D135" s="33" t="s">
        <v>7</v>
      </c>
      <c r="E135" s="34" t="s">
        <v>743</v>
      </c>
      <c r="F135" s="8">
        <v>2.4799999999999999E-2</v>
      </c>
      <c r="G135" s="8">
        <v>0.06</v>
      </c>
      <c r="H135" s="8">
        <v>21</v>
      </c>
      <c r="I135" s="33" t="s">
        <v>60</v>
      </c>
      <c r="J135" s="19">
        <f t="shared" si="8"/>
        <v>3.6403765058381452E-4</v>
      </c>
    </row>
    <row r="136" spans="1:10" x14ac:dyDescent="0.15">
      <c r="A136" s="33" t="s">
        <v>64</v>
      </c>
      <c r="B136" s="33" t="s">
        <v>923</v>
      </c>
      <c r="C136" s="33">
        <v>278</v>
      </c>
      <c r="D136" s="33" t="s">
        <v>8</v>
      </c>
      <c r="E136" s="34" t="s">
        <v>743</v>
      </c>
      <c r="F136" s="8">
        <v>0.1008</v>
      </c>
      <c r="G136" s="8">
        <v>0.16400000000000001</v>
      </c>
      <c r="H136" s="8">
        <v>35</v>
      </c>
      <c r="I136" s="33" t="s">
        <v>60</v>
      </c>
      <c r="J136" s="19">
        <f t="shared" si="8"/>
        <v>4.7498001647681992E-4</v>
      </c>
    </row>
    <row r="137" spans="1:10" x14ac:dyDescent="0.15">
      <c r="A137" s="33" t="s">
        <v>64</v>
      </c>
      <c r="B137" s="33" t="s">
        <v>923</v>
      </c>
      <c r="C137" s="33">
        <v>278</v>
      </c>
      <c r="D137" s="33" t="s">
        <v>54</v>
      </c>
      <c r="E137" s="34" t="s">
        <v>743</v>
      </c>
      <c r="F137" s="8">
        <v>9.7199999999999995E-2</v>
      </c>
      <c r="G137" s="8">
        <v>0.16</v>
      </c>
      <c r="H137" s="8">
        <v>0</v>
      </c>
      <c r="I137" s="33" t="s">
        <v>60</v>
      </c>
      <c r="J137" s="19">
        <f t="shared" si="8"/>
        <v>5.7311320754716976E-4</v>
      </c>
    </row>
    <row r="138" spans="1:10" x14ac:dyDescent="0.15">
      <c r="A138" s="33" t="s">
        <v>64</v>
      </c>
      <c r="B138" s="33" t="s">
        <v>923</v>
      </c>
      <c r="C138" s="33">
        <v>278</v>
      </c>
      <c r="D138" s="33" t="s">
        <v>257</v>
      </c>
      <c r="E138" s="34" t="s">
        <v>743</v>
      </c>
      <c r="F138" s="8">
        <v>2.3599999999999999E-2</v>
      </c>
      <c r="G138" s="8">
        <v>1.4E-2</v>
      </c>
      <c r="H138" s="8">
        <v>34</v>
      </c>
      <c r="I138" s="33" t="s">
        <v>60</v>
      </c>
      <c r="J138" s="19">
        <f t="shared" ref="J138" si="9">F138*COS(RADIANS(H138))/(1060*G138)</f>
        <v>1.3184155466508748E-3</v>
      </c>
    </row>
    <row r="139" spans="1:10" x14ac:dyDescent="0.15">
      <c r="A139" s="33" t="s">
        <v>64</v>
      </c>
      <c r="B139" s="33" t="s">
        <v>923</v>
      </c>
      <c r="C139" s="33">
        <v>278</v>
      </c>
      <c r="D139" s="33" t="s">
        <v>9</v>
      </c>
      <c r="E139" s="34" t="s">
        <v>743</v>
      </c>
      <c r="F139" s="8">
        <v>3.9199999999999999E-2</v>
      </c>
      <c r="G139" s="8">
        <v>3.8199999999999998E-2</v>
      </c>
      <c r="H139" s="8">
        <v>41.25</v>
      </c>
      <c r="I139" s="33" t="s">
        <v>60</v>
      </c>
      <c r="J139" s="19">
        <f t="shared" si="8"/>
        <v>7.2785045078474541E-4</v>
      </c>
    </row>
    <row r="140" spans="1:10" x14ac:dyDescent="0.15">
      <c r="A140" s="33" t="s">
        <v>64</v>
      </c>
      <c r="B140" s="33" t="s">
        <v>923</v>
      </c>
      <c r="C140" s="33">
        <v>278</v>
      </c>
      <c r="D140" s="33" t="s">
        <v>89</v>
      </c>
      <c r="E140" s="34" t="s">
        <v>743</v>
      </c>
      <c r="F140" s="8">
        <v>1.52E-2</v>
      </c>
      <c r="G140" s="8">
        <v>6.4000000000000001E-2</v>
      </c>
      <c r="H140" s="8">
        <v>0</v>
      </c>
      <c r="I140" s="33" t="s">
        <v>60</v>
      </c>
      <c r="J140" s="19">
        <f t="shared" si="8"/>
        <v>2.240566037735849E-4</v>
      </c>
    </row>
    <row r="141" spans="1:10" x14ac:dyDescent="0.15">
      <c r="A141" s="33" t="s">
        <v>64</v>
      </c>
      <c r="B141" s="33" t="s">
        <v>923</v>
      </c>
      <c r="C141" s="33">
        <v>278</v>
      </c>
      <c r="D141" s="33" t="s">
        <v>11</v>
      </c>
      <c r="E141" s="34" t="s">
        <v>743</v>
      </c>
      <c r="F141" s="8">
        <v>0.1288</v>
      </c>
      <c r="G141" s="8">
        <v>4.3999999999999997E-2</v>
      </c>
      <c r="H141" s="8">
        <v>25</v>
      </c>
      <c r="I141" s="33" t="s">
        <v>60</v>
      </c>
      <c r="J141" s="19">
        <f t="shared" si="8"/>
        <v>2.5028396863276269E-3</v>
      </c>
    </row>
    <row r="142" spans="1:10" x14ac:dyDescent="0.15">
      <c r="A142" s="27" t="s">
        <v>68</v>
      </c>
      <c r="B142" s="27" t="s">
        <v>923</v>
      </c>
      <c r="C142" s="27">
        <v>90</v>
      </c>
      <c r="D142" s="28" t="s">
        <v>12</v>
      </c>
      <c r="E142" s="27" t="s">
        <v>742</v>
      </c>
      <c r="F142" s="1">
        <v>1.6979999999999999E-2</v>
      </c>
      <c r="G142" s="1">
        <v>9.2499999999999999E-2</v>
      </c>
      <c r="H142" s="4">
        <v>0</v>
      </c>
      <c r="I142" s="27" t="s">
        <v>60</v>
      </c>
      <c r="J142" s="19">
        <f t="shared" ref="J142:J173" si="10">F142*COS(RADIANS(H142))/(1060*G142)</f>
        <v>1.7317695053544109E-4</v>
      </c>
    </row>
    <row r="143" spans="1:10" x14ac:dyDescent="0.15">
      <c r="A143" s="27" t="s">
        <v>68</v>
      </c>
      <c r="B143" s="27" t="s">
        <v>923</v>
      </c>
      <c r="C143" s="27">
        <v>90</v>
      </c>
      <c r="D143" s="1" t="s">
        <v>13</v>
      </c>
      <c r="E143" s="27" t="s">
        <v>742</v>
      </c>
      <c r="F143" s="1">
        <v>9.6329999999999999E-2</v>
      </c>
      <c r="G143" s="1">
        <v>6.6833333333333328E-2</v>
      </c>
      <c r="H143" s="4">
        <v>19.166666666666668</v>
      </c>
      <c r="I143" s="27" t="s">
        <v>60</v>
      </c>
      <c r="J143" s="19">
        <f t="shared" si="10"/>
        <v>1.2843860753539032E-3</v>
      </c>
    </row>
    <row r="144" spans="1:10" x14ac:dyDescent="0.15">
      <c r="A144" s="27" t="s">
        <v>68</v>
      </c>
      <c r="B144" s="27" t="s">
        <v>923</v>
      </c>
      <c r="C144" s="27">
        <v>90</v>
      </c>
      <c r="D144" s="1" t="s">
        <v>14</v>
      </c>
      <c r="E144" s="27" t="s">
        <v>742</v>
      </c>
      <c r="F144" s="1">
        <v>9.7099999999999999E-3</v>
      </c>
      <c r="G144" s="1">
        <v>5.8000000000000003E-2</v>
      </c>
      <c r="H144" s="4">
        <v>12.5</v>
      </c>
      <c r="I144" s="27" t="s">
        <v>60</v>
      </c>
      <c r="J144" s="19">
        <f t="shared" si="10"/>
        <v>1.541937903242445E-4</v>
      </c>
    </row>
    <row r="145" spans="1:10" x14ac:dyDescent="0.15">
      <c r="A145" s="27" t="s">
        <v>68</v>
      </c>
      <c r="B145" s="27" t="s">
        <v>923</v>
      </c>
      <c r="C145" s="27">
        <v>90</v>
      </c>
      <c r="D145" s="28" t="s">
        <v>18</v>
      </c>
      <c r="E145" s="27" t="s">
        <v>742</v>
      </c>
      <c r="F145" s="28">
        <v>3.2640000000000002E-2</v>
      </c>
      <c r="G145" s="28">
        <v>6.7599999999999993E-2</v>
      </c>
      <c r="H145" s="28">
        <v>0</v>
      </c>
      <c r="I145" s="27" t="s">
        <v>60</v>
      </c>
      <c r="J145" s="19">
        <f t="shared" si="10"/>
        <v>4.5550965725131191E-4</v>
      </c>
    </row>
    <row r="146" spans="1:10" x14ac:dyDescent="0.15">
      <c r="A146" s="27" t="s">
        <v>68</v>
      </c>
      <c r="B146" s="27" t="s">
        <v>923</v>
      </c>
      <c r="C146" s="27">
        <v>90</v>
      </c>
      <c r="D146" s="28" t="s">
        <v>19</v>
      </c>
      <c r="E146" s="27" t="s">
        <v>742</v>
      </c>
      <c r="F146" s="1">
        <v>3.116E-2</v>
      </c>
      <c r="G146" s="1">
        <v>3.4142857142857148E-2</v>
      </c>
      <c r="H146" s="4">
        <v>24</v>
      </c>
      <c r="I146" s="27" t="s">
        <v>60</v>
      </c>
      <c r="J146" s="19">
        <f t="shared" si="10"/>
        <v>7.8654194055815933E-4</v>
      </c>
    </row>
    <row r="147" spans="1:10" x14ac:dyDescent="0.15">
      <c r="A147" s="27" t="s">
        <v>68</v>
      </c>
      <c r="B147" s="27" t="s">
        <v>923</v>
      </c>
      <c r="C147" s="27">
        <v>90</v>
      </c>
      <c r="D147" s="28" t="s">
        <v>22</v>
      </c>
      <c r="E147" s="27" t="s">
        <v>742</v>
      </c>
      <c r="F147" s="1">
        <v>1.38E-2</v>
      </c>
      <c r="G147" s="1">
        <v>4.6166666666666668E-2</v>
      </c>
      <c r="H147" s="4">
        <v>35</v>
      </c>
      <c r="I147" s="27" t="s">
        <v>60</v>
      </c>
      <c r="J147" s="19">
        <f t="shared" si="10"/>
        <v>2.3099853302611717E-4</v>
      </c>
    </row>
    <row r="148" spans="1:10" x14ac:dyDescent="0.15">
      <c r="A148" s="27" t="s">
        <v>68</v>
      </c>
      <c r="B148" s="27" t="s">
        <v>923</v>
      </c>
      <c r="C148" s="27">
        <v>90</v>
      </c>
      <c r="D148" s="28" t="s">
        <v>4</v>
      </c>
      <c r="E148" s="27" t="s">
        <v>742</v>
      </c>
      <c r="F148" s="1">
        <v>4.5569999999999999E-2</v>
      </c>
      <c r="G148" s="1">
        <v>0.1348</v>
      </c>
      <c r="H148" s="4">
        <v>0</v>
      </c>
      <c r="I148" s="27" t="s">
        <v>60</v>
      </c>
      <c r="J148" s="19">
        <f t="shared" si="10"/>
        <v>3.1892111303958345E-4</v>
      </c>
    </row>
    <row r="149" spans="1:10" x14ac:dyDescent="0.15">
      <c r="A149" s="27" t="s">
        <v>68</v>
      </c>
      <c r="B149" s="27" t="s">
        <v>923</v>
      </c>
      <c r="C149" s="27">
        <v>90</v>
      </c>
      <c r="D149" s="28" t="s">
        <v>25</v>
      </c>
      <c r="E149" s="27" t="s">
        <v>742</v>
      </c>
      <c r="F149" s="1">
        <v>5.1619999999999999E-2</v>
      </c>
      <c r="G149" s="1">
        <v>7.1625000000000008E-2</v>
      </c>
      <c r="H149" s="4">
        <v>23</v>
      </c>
      <c r="I149" s="27" t="s">
        <v>60</v>
      </c>
      <c r="J149" s="19">
        <f t="shared" si="10"/>
        <v>6.2585479318008445E-4</v>
      </c>
    </row>
    <row r="150" spans="1:10" x14ac:dyDescent="0.15">
      <c r="A150" s="27" t="s">
        <v>68</v>
      </c>
      <c r="B150" s="27" t="s">
        <v>923</v>
      </c>
      <c r="C150" s="27">
        <v>90</v>
      </c>
      <c r="D150" s="28" t="s">
        <v>29</v>
      </c>
      <c r="E150" s="27" t="s">
        <v>742</v>
      </c>
      <c r="F150" s="1">
        <v>0.32700000000000001</v>
      </c>
      <c r="G150" s="1">
        <v>0.146125</v>
      </c>
      <c r="H150" s="4">
        <v>2.5</v>
      </c>
      <c r="I150" s="28" t="s">
        <v>60</v>
      </c>
      <c r="J150" s="19">
        <f t="shared" si="10"/>
        <v>2.1091322591943931E-3</v>
      </c>
    </row>
    <row r="151" spans="1:10" x14ac:dyDescent="0.15">
      <c r="A151" s="27" t="s">
        <v>68</v>
      </c>
      <c r="B151" s="27" t="s">
        <v>923</v>
      </c>
      <c r="C151" s="27">
        <v>90</v>
      </c>
      <c r="D151" s="28" t="s">
        <v>31</v>
      </c>
      <c r="E151" s="27" t="s">
        <v>742</v>
      </c>
      <c r="F151" s="1">
        <v>0.1171</v>
      </c>
      <c r="G151" s="1">
        <v>0.11866666666666667</v>
      </c>
      <c r="H151" s="4">
        <v>0</v>
      </c>
      <c r="I151" s="28" t="s">
        <v>60</v>
      </c>
      <c r="J151" s="19">
        <f t="shared" si="10"/>
        <v>9.30941276234895E-4</v>
      </c>
    </row>
    <row r="152" spans="1:10" x14ac:dyDescent="0.15">
      <c r="A152" s="27" t="s">
        <v>68</v>
      </c>
      <c r="B152" s="27" t="s">
        <v>923</v>
      </c>
      <c r="C152" s="27">
        <v>90</v>
      </c>
      <c r="D152" s="28" t="s">
        <v>33</v>
      </c>
      <c r="E152" s="27" t="s">
        <v>742</v>
      </c>
      <c r="F152" s="1">
        <v>0.1371</v>
      </c>
      <c r="G152" s="1">
        <v>0.10057142857142858</v>
      </c>
      <c r="H152" s="4">
        <v>0</v>
      </c>
      <c r="I152" s="27" t="s">
        <v>60</v>
      </c>
      <c r="J152" s="19">
        <f t="shared" si="10"/>
        <v>1.286047384219554E-3</v>
      </c>
    </row>
    <row r="153" spans="1:10" x14ac:dyDescent="0.15">
      <c r="A153" s="27" t="s">
        <v>68</v>
      </c>
      <c r="B153" s="27" t="s">
        <v>923</v>
      </c>
      <c r="C153" s="27">
        <v>90</v>
      </c>
      <c r="D153" s="28" t="s">
        <v>91</v>
      </c>
      <c r="E153" s="27" t="s">
        <v>742</v>
      </c>
      <c r="F153" s="1">
        <v>4.088E-2</v>
      </c>
      <c r="G153" s="1">
        <v>0.115</v>
      </c>
      <c r="H153" s="4">
        <v>22</v>
      </c>
      <c r="I153" s="27" t="s">
        <v>60</v>
      </c>
      <c r="J153" s="19">
        <f t="shared" si="10"/>
        <v>3.1093745672428438E-4</v>
      </c>
    </row>
    <row r="154" spans="1:10" x14ac:dyDescent="0.15">
      <c r="A154" s="27" t="s">
        <v>68</v>
      </c>
      <c r="B154" s="27" t="s">
        <v>923</v>
      </c>
      <c r="C154" s="27">
        <v>90</v>
      </c>
      <c r="D154" s="28" t="s">
        <v>92</v>
      </c>
      <c r="E154" s="27" t="s">
        <v>742</v>
      </c>
      <c r="F154" s="1">
        <v>0.12548999999999999</v>
      </c>
      <c r="G154" s="1">
        <v>0.16</v>
      </c>
      <c r="H154" s="4">
        <v>0</v>
      </c>
      <c r="I154" s="27" t="s">
        <v>60</v>
      </c>
      <c r="J154" s="19">
        <f t="shared" si="10"/>
        <v>7.3991745283018869E-4</v>
      </c>
    </row>
    <row r="155" spans="1:10" x14ac:dyDescent="0.15">
      <c r="A155" s="27" t="s">
        <v>68</v>
      </c>
      <c r="B155" s="27" t="s">
        <v>923</v>
      </c>
      <c r="C155" s="27">
        <v>90</v>
      </c>
      <c r="D155" s="28" t="s">
        <v>35</v>
      </c>
      <c r="E155" s="27" t="s">
        <v>742</v>
      </c>
      <c r="F155" s="1">
        <v>4.496E-2</v>
      </c>
      <c r="G155" s="1">
        <v>4.8399999999999999E-2</v>
      </c>
      <c r="H155" s="4">
        <v>28</v>
      </c>
      <c r="I155" s="27" t="s">
        <v>60</v>
      </c>
      <c r="J155" s="19">
        <f t="shared" si="10"/>
        <v>7.7376664148872125E-4</v>
      </c>
    </row>
    <row r="156" spans="1:10" x14ac:dyDescent="0.15">
      <c r="A156" s="27" t="s">
        <v>68</v>
      </c>
      <c r="B156" s="27" t="s">
        <v>923</v>
      </c>
      <c r="C156" s="27">
        <v>90</v>
      </c>
      <c r="D156" s="28" t="s">
        <v>90</v>
      </c>
      <c r="E156" s="27" t="s">
        <v>742</v>
      </c>
      <c r="F156" s="1">
        <v>1.8440000000000002E-2</v>
      </c>
      <c r="G156" s="1">
        <v>8.6999999999999994E-2</v>
      </c>
      <c r="H156" s="4">
        <v>0</v>
      </c>
      <c r="I156" s="27" t="s">
        <v>60</v>
      </c>
      <c r="J156" s="19">
        <f t="shared" si="10"/>
        <v>1.9995662546085449E-4</v>
      </c>
    </row>
    <row r="157" spans="1:10" x14ac:dyDescent="0.15">
      <c r="A157" s="27" t="s">
        <v>68</v>
      </c>
      <c r="B157" s="27" t="s">
        <v>923</v>
      </c>
      <c r="C157" s="27">
        <v>90</v>
      </c>
      <c r="D157" s="28" t="s">
        <v>80</v>
      </c>
      <c r="E157" s="27" t="s">
        <v>742</v>
      </c>
      <c r="F157" s="1">
        <v>5.9110000000000003E-2</v>
      </c>
      <c r="G157" s="1">
        <v>0.129</v>
      </c>
      <c r="H157" s="4">
        <v>20</v>
      </c>
      <c r="I157" s="27" t="s">
        <v>60</v>
      </c>
      <c r="J157" s="19">
        <f t="shared" si="10"/>
        <v>4.062105515186123E-4</v>
      </c>
    </row>
    <row r="158" spans="1:10" x14ac:dyDescent="0.15">
      <c r="A158" s="27" t="s">
        <v>68</v>
      </c>
      <c r="B158" s="27" t="s">
        <v>923</v>
      </c>
      <c r="C158" s="27">
        <v>90</v>
      </c>
      <c r="D158" s="28" t="s">
        <v>37</v>
      </c>
      <c r="E158" s="27" t="s">
        <v>742</v>
      </c>
      <c r="F158" s="1">
        <v>1.8599999999999998E-2</v>
      </c>
      <c r="G158" s="1">
        <v>0.1196</v>
      </c>
      <c r="H158" s="4">
        <v>21</v>
      </c>
      <c r="I158" s="27" t="s">
        <v>60</v>
      </c>
      <c r="J158" s="19">
        <f t="shared" si="10"/>
        <v>1.3697068792869276E-4</v>
      </c>
    </row>
    <row r="159" spans="1:10" x14ac:dyDescent="0.15">
      <c r="A159" s="28" t="s">
        <v>68</v>
      </c>
      <c r="B159" s="27" t="s">
        <v>923</v>
      </c>
      <c r="C159" s="28">
        <v>90</v>
      </c>
      <c r="D159" s="28" t="s">
        <v>38</v>
      </c>
      <c r="E159" s="27" t="s">
        <v>742</v>
      </c>
      <c r="F159" s="1">
        <v>2.699E-2</v>
      </c>
      <c r="G159" s="1">
        <v>0.1318</v>
      </c>
      <c r="H159" s="4">
        <v>0</v>
      </c>
      <c r="I159" s="28" t="s">
        <v>60</v>
      </c>
      <c r="J159" s="19">
        <f t="shared" si="10"/>
        <v>1.9318865061413807E-4</v>
      </c>
    </row>
    <row r="160" spans="1:10" x14ac:dyDescent="0.15">
      <c r="A160" s="27" t="s">
        <v>68</v>
      </c>
      <c r="B160" s="27" t="s">
        <v>923</v>
      </c>
      <c r="C160" s="27">
        <v>90</v>
      </c>
      <c r="D160" s="28" t="s">
        <v>41</v>
      </c>
      <c r="E160" s="27" t="s">
        <v>742</v>
      </c>
      <c r="F160" s="1">
        <v>9.5000000000000001E-2</v>
      </c>
      <c r="G160" s="1">
        <v>0.10640000000000001</v>
      </c>
      <c r="H160" s="4">
        <v>24</v>
      </c>
      <c r="I160" s="27" t="s">
        <v>60</v>
      </c>
      <c r="J160" s="19">
        <f t="shared" si="10"/>
        <v>7.6949583696310714E-4</v>
      </c>
    </row>
    <row r="161" spans="1:10" x14ac:dyDescent="0.15">
      <c r="A161" s="28" t="s">
        <v>68</v>
      </c>
      <c r="B161" s="27" t="s">
        <v>923</v>
      </c>
      <c r="C161" s="28">
        <v>90</v>
      </c>
      <c r="D161" s="28" t="s">
        <v>28</v>
      </c>
      <c r="E161" s="27" t="s">
        <v>742</v>
      </c>
      <c r="F161" s="1">
        <v>6.3299999999999995E-2</v>
      </c>
      <c r="G161" s="1">
        <v>8.7999999999999995E-2</v>
      </c>
      <c r="H161" s="4">
        <v>15.714285714285714</v>
      </c>
      <c r="I161" s="27" t="s">
        <v>60</v>
      </c>
      <c r="J161" s="19">
        <f t="shared" si="10"/>
        <v>6.5323879536809343E-4</v>
      </c>
    </row>
    <row r="162" spans="1:10" x14ac:dyDescent="0.15">
      <c r="A162" s="28" t="s">
        <v>68</v>
      </c>
      <c r="B162" s="27" t="s">
        <v>923</v>
      </c>
      <c r="C162" s="28">
        <v>90</v>
      </c>
      <c r="D162" s="28" t="s">
        <v>93</v>
      </c>
      <c r="E162" s="27" t="s">
        <v>742</v>
      </c>
      <c r="F162" s="1">
        <v>3.56E-2</v>
      </c>
      <c r="G162" s="1">
        <v>0.111</v>
      </c>
      <c r="H162" s="4">
        <v>8</v>
      </c>
      <c r="I162" s="27" t="s">
        <v>60</v>
      </c>
      <c r="J162" s="19">
        <f t="shared" si="10"/>
        <v>2.9962215916369122E-4</v>
      </c>
    </row>
    <row r="163" spans="1:10" x14ac:dyDescent="0.15">
      <c r="A163" s="28" t="s">
        <v>68</v>
      </c>
      <c r="B163" s="27" t="s">
        <v>923</v>
      </c>
      <c r="C163" s="28">
        <v>90</v>
      </c>
      <c r="D163" s="28" t="s">
        <v>46</v>
      </c>
      <c r="E163" s="27" t="s">
        <v>742</v>
      </c>
      <c r="F163" s="1">
        <v>2.0639999999999999E-2</v>
      </c>
      <c r="G163" s="1">
        <v>5.3999999999999999E-2</v>
      </c>
      <c r="H163" s="4">
        <v>23.333333333333332</v>
      </c>
      <c r="I163" s="27" t="s">
        <v>60</v>
      </c>
      <c r="J163" s="19">
        <f t="shared" si="10"/>
        <v>3.3109679325661872E-4</v>
      </c>
    </row>
    <row r="164" spans="1:10" x14ac:dyDescent="0.15">
      <c r="A164" s="28" t="s">
        <v>68</v>
      </c>
      <c r="B164" s="27" t="s">
        <v>923</v>
      </c>
      <c r="C164" s="28">
        <v>90</v>
      </c>
      <c r="D164" s="28" t="s">
        <v>48</v>
      </c>
      <c r="E164" s="27" t="s">
        <v>742</v>
      </c>
      <c r="F164" s="1">
        <v>7.8799999999999995E-2</v>
      </c>
      <c r="G164" s="1">
        <v>8.9833333333333334E-2</v>
      </c>
      <c r="H164" s="4">
        <v>14.166666666666666</v>
      </c>
      <c r="I164" s="27" t="s">
        <v>60</v>
      </c>
      <c r="J164" s="19">
        <f t="shared" si="10"/>
        <v>8.0236139437528126E-4</v>
      </c>
    </row>
    <row r="165" spans="1:10" s="22" customFormat="1" x14ac:dyDescent="0.15">
      <c r="A165" s="28" t="s">
        <v>68</v>
      </c>
      <c r="B165" s="27" t="s">
        <v>923</v>
      </c>
      <c r="C165" s="28">
        <v>90</v>
      </c>
      <c r="D165" s="28" t="s">
        <v>49</v>
      </c>
      <c r="E165" s="27" t="s">
        <v>742</v>
      </c>
      <c r="F165" s="1">
        <v>0.93400000000000005</v>
      </c>
      <c r="G165" s="1">
        <v>0.19443750000000001</v>
      </c>
      <c r="H165" s="4">
        <v>40.625</v>
      </c>
      <c r="I165" s="28" t="s">
        <v>60</v>
      </c>
      <c r="J165" s="22">
        <f t="shared" si="10"/>
        <v>3.4395013224400293E-3</v>
      </c>
    </row>
    <row r="166" spans="1:10" x14ac:dyDescent="0.15">
      <c r="A166" s="27" t="s">
        <v>68</v>
      </c>
      <c r="B166" s="27" t="s">
        <v>923</v>
      </c>
      <c r="C166" s="27">
        <v>90</v>
      </c>
      <c r="D166" s="28" t="s">
        <v>52</v>
      </c>
      <c r="E166" s="27" t="s">
        <v>743</v>
      </c>
      <c r="F166" s="1">
        <v>0.11355</v>
      </c>
      <c r="G166" s="1">
        <v>3.4111111111111113E-2</v>
      </c>
      <c r="H166" s="4">
        <v>39.230769230769234</v>
      </c>
      <c r="I166" s="27" t="s">
        <v>60</v>
      </c>
      <c r="J166" s="19">
        <f t="shared" si="10"/>
        <v>2.4325718786176987E-3</v>
      </c>
    </row>
    <row r="167" spans="1:10" x14ac:dyDescent="0.15">
      <c r="A167" s="27" t="s">
        <v>68</v>
      </c>
      <c r="B167" s="27" t="s">
        <v>923</v>
      </c>
      <c r="C167" s="27">
        <v>90</v>
      </c>
      <c r="D167" s="28" t="s">
        <v>51</v>
      </c>
      <c r="E167" s="27" t="s">
        <v>743</v>
      </c>
      <c r="F167" s="1">
        <v>2.9700000000000001E-2</v>
      </c>
      <c r="G167" s="1">
        <v>7.4999999999999997E-2</v>
      </c>
      <c r="H167" s="4">
        <v>22.5</v>
      </c>
      <c r="I167" s="27" t="s">
        <v>60</v>
      </c>
      <c r="J167" s="19">
        <f t="shared" si="10"/>
        <v>3.4514744799478262E-4</v>
      </c>
    </row>
    <row r="168" spans="1:10" x14ac:dyDescent="0.15">
      <c r="A168" s="27" t="s">
        <v>68</v>
      </c>
      <c r="B168" s="27" t="s">
        <v>923</v>
      </c>
      <c r="C168" s="27">
        <v>90</v>
      </c>
      <c r="D168" s="28" t="s">
        <v>6</v>
      </c>
      <c r="E168" s="27" t="s">
        <v>743</v>
      </c>
      <c r="F168" s="1">
        <v>3.2379999999999999E-2</v>
      </c>
      <c r="G168" s="1">
        <v>0.03</v>
      </c>
      <c r="H168" s="4">
        <v>20.833333333333332</v>
      </c>
      <c r="I168" s="27" t="s">
        <v>60</v>
      </c>
      <c r="J168" s="19">
        <f t="shared" si="10"/>
        <v>9.5166543405032214E-4</v>
      </c>
    </row>
    <row r="169" spans="1:10" x14ac:dyDescent="0.15">
      <c r="A169" s="27" t="s">
        <v>68</v>
      </c>
      <c r="B169" s="27" t="s">
        <v>923</v>
      </c>
      <c r="C169" s="27">
        <v>90</v>
      </c>
      <c r="D169" s="28" t="s">
        <v>7</v>
      </c>
      <c r="E169" s="27" t="s">
        <v>743</v>
      </c>
      <c r="F169" s="1">
        <v>1.2899999999999999E-3</v>
      </c>
      <c r="G169" s="1">
        <v>2.3600000000000003E-2</v>
      </c>
      <c r="H169" s="4">
        <v>26</v>
      </c>
      <c r="I169" s="27" t="s">
        <v>60</v>
      </c>
      <c r="J169" s="19">
        <f t="shared" si="10"/>
        <v>4.6348109998637881E-5</v>
      </c>
    </row>
    <row r="170" spans="1:10" x14ac:dyDescent="0.15">
      <c r="A170" s="27" t="s">
        <v>68</v>
      </c>
      <c r="B170" s="27" t="s">
        <v>923</v>
      </c>
      <c r="C170" s="27">
        <v>90</v>
      </c>
      <c r="D170" s="28" t="s">
        <v>8</v>
      </c>
      <c r="E170" s="27" t="s">
        <v>743</v>
      </c>
      <c r="F170" s="1">
        <v>4.1309999999999999E-2</v>
      </c>
      <c r="G170" s="1">
        <v>5.1400000000000001E-2</v>
      </c>
      <c r="H170" s="4">
        <v>27</v>
      </c>
      <c r="I170" s="27" t="s">
        <v>60</v>
      </c>
      <c r="J170" s="19">
        <f t="shared" si="10"/>
        <v>6.7556492757913289E-4</v>
      </c>
    </row>
    <row r="171" spans="1:10" x14ac:dyDescent="0.15">
      <c r="A171" s="27" t="s">
        <v>68</v>
      </c>
      <c r="B171" s="27" t="s">
        <v>923</v>
      </c>
      <c r="C171" s="27">
        <v>90</v>
      </c>
      <c r="D171" s="28" t="s">
        <v>54</v>
      </c>
      <c r="E171" s="27" t="s">
        <v>743</v>
      </c>
      <c r="F171" s="1">
        <v>3.6630000000000003E-2</v>
      </c>
      <c r="G171" s="1">
        <v>8.9166666666666672E-2</v>
      </c>
      <c r="H171" s="4">
        <v>0</v>
      </c>
      <c r="I171" s="27" t="s">
        <v>60</v>
      </c>
      <c r="J171" s="19">
        <f t="shared" si="10"/>
        <v>3.8755069652618592E-4</v>
      </c>
    </row>
    <row r="172" spans="1:10" x14ac:dyDescent="0.15">
      <c r="A172" s="27" t="s">
        <v>68</v>
      </c>
      <c r="B172" s="27" t="s">
        <v>923</v>
      </c>
      <c r="C172" s="27">
        <v>90</v>
      </c>
      <c r="D172" s="28" t="s">
        <v>257</v>
      </c>
      <c r="E172" s="27" t="s">
        <v>743</v>
      </c>
      <c r="F172" s="1">
        <v>6.8300000000000001E-3</v>
      </c>
      <c r="G172" s="1">
        <v>2.7E-2</v>
      </c>
      <c r="H172" s="4">
        <v>0</v>
      </c>
      <c r="I172" s="27" t="s">
        <v>60</v>
      </c>
      <c r="J172" s="19">
        <f t="shared" ref="J172" si="11">F172*COS(RADIANS(H172))/(1060*G172)</f>
        <v>2.3864430468204052E-4</v>
      </c>
    </row>
    <row r="173" spans="1:10" x14ac:dyDescent="0.15">
      <c r="A173" s="27" t="s">
        <v>68</v>
      </c>
      <c r="B173" s="27" t="s">
        <v>923</v>
      </c>
      <c r="C173" s="27">
        <v>90</v>
      </c>
      <c r="D173" s="28" t="s">
        <v>9</v>
      </c>
      <c r="E173" s="27" t="s">
        <v>743</v>
      </c>
      <c r="F173" s="1">
        <v>2.7000000000000001E-3</v>
      </c>
      <c r="G173" s="1">
        <v>1.6399999999999998E-2</v>
      </c>
      <c r="H173" s="4">
        <v>42</v>
      </c>
      <c r="I173" s="27" t="s">
        <v>60</v>
      </c>
      <c r="J173" s="19">
        <f t="shared" si="10"/>
        <v>1.1542171127410062E-4</v>
      </c>
    </row>
    <row r="174" spans="1:10" x14ac:dyDescent="0.15">
      <c r="A174" s="27" t="s">
        <v>68</v>
      </c>
      <c r="B174" s="27" t="s">
        <v>923</v>
      </c>
      <c r="C174" s="27">
        <v>90</v>
      </c>
      <c r="D174" s="28" t="s">
        <v>89</v>
      </c>
      <c r="E174" s="27" t="s">
        <v>743</v>
      </c>
      <c r="F174" s="1">
        <v>9.75E-3</v>
      </c>
      <c r="G174" s="1">
        <v>0.03</v>
      </c>
      <c r="H174" s="4">
        <v>27</v>
      </c>
      <c r="I174" s="27" t="s">
        <v>60</v>
      </c>
      <c r="J174" s="19">
        <f t="shared" ref="J174:J176" si="12">F174*COS(RADIANS(H174))/(1060*G174)</f>
        <v>2.7318596260492411E-4</v>
      </c>
    </row>
    <row r="175" spans="1:10" x14ac:dyDescent="0.15">
      <c r="A175" s="27" t="s">
        <v>68</v>
      </c>
      <c r="B175" s="27" t="s">
        <v>923</v>
      </c>
      <c r="C175" s="27">
        <v>90</v>
      </c>
      <c r="D175" s="28" t="s">
        <v>11</v>
      </c>
      <c r="E175" s="27" t="s">
        <v>743</v>
      </c>
      <c r="F175" s="1">
        <v>4.1369999999999997E-2</v>
      </c>
      <c r="G175" s="1">
        <v>2.4E-2</v>
      </c>
      <c r="H175" s="4">
        <v>28</v>
      </c>
      <c r="I175" s="27" t="s">
        <v>60</v>
      </c>
      <c r="J175" s="19">
        <f t="shared" ref="J175" si="13">F175*COS(RADIANS(H175))/(1060*G175)</f>
        <v>1.4358310501797879E-3</v>
      </c>
    </row>
    <row r="176" spans="1:10" x14ac:dyDescent="0.15">
      <c r="A176" s="25" t="s">
        <v>67</v>
      </c>
      <c r="B176" s="25" t="s">
        <v>923</v>
      </c>
      <c r="C176" s="25">
        <v>10.199999999999999</v>
      </c>
      <c r="D176" s="24" t="s">
        <v>12</v>
      </c>
      <c r="E176" s="25" t="s">
        <v>742</v>
      </c>
      <c r="F176" s="26">
        <v>2.7399999999999998E-3</v>
      </c>
      <c r="G176" s="26">
        <v>7.6999999999999999E-2</v>
      </c>
      <c r="H176" s="14">
        <v>0</v>
      </c>
      <c r="I176" s="25" t="s">
        <v>60</v>
      </c>
      <c r="J176" s="19">
        <f t="shared" si="12"/>
        <v>3.3570203381524132E-5</v>
      </c>
    </row>
    <row r="177" spans="1:10" x14ac:dyDescent="0.15">
      <c r="A177" s="25" t="s">
        <v>67</v>
      </c>
      <c r="B177" s="25" t="s">
        <v>923</v>
      </c>
      <c r="C177" s="25">
        <v>10.199999999999999</v>
      </c>
      <c r="D177" s="24" t="s">
        <v>13</v>
      </c>
      <c r="E177" s="25" t="s">
        <v>742</v>
      </c>
      <c r="F177" s="26">
        <v>2.0809999999999999E-2</v>
      </c>
      <c r="G177" s="26">
        <v>1.9E-2</v>
      </c>
      <c r="H177" s="14">
        <v>20</v>
      </c>
      <c r="I177" s="25" t="s">
        <v>60</v>
      </c>
      <c r="J177" s="19">
        <f t="shared" ref="J177:J210" si="14">F177*COS(RADIANS(H177))/(1060*G177)</f>
        <v>9.7095349744561832E-4</v>
      </c>
    </row>
    <row r="178" spans="1:10" x14ac:dyDescent="0.15">
      <c r="A178" s="25" t="s">
        <v>67</v>
      </c>
      <c r="B178" s="25" t="s">
        <v>923</v>
      </c>
      <c r="C178" s="25">
        <v>10.199999999999999</v>
      </c>
      <c r="D178" s="24" t="s">
        <v>14</v>
      </c>
      <c r="E178" s="25" t="s">
        <v>742</v>
      </c>
      <c r="F178" s="26">
        <v>3.5000000000000001E-3</v>
      </c>
      <c r="G178" s="26">
        <v>2.5000000000000001E-2</v>
      </c>
      <c r="H178" s="14">
        <v>18</v>
      </c>
      <c r="I178" s="25" t="s">
        <v>60</v>
      </c>
      <c r="J178" s="19">
        <f t="shared" si="14"/>
        <v>1.256112380012467E-4</v>
      </c>
    </row>
    <row r="179" spans="1:10" x14ac:dyDescent="0.15">
      <c r="A179" s="25" t="s">
        <v>67</v>
      </c>
      <c r="B179" s="25" t="s">
        <v>923</v>
      </c>
      <c r="C179" s="25">
        <v>10.199999999999999</v>
      </c>
      <c r="D179" s="24" t="s">
        <v>18</v>
      </c>
      <c r="E179" s="25" t="s">
        <v>742</v>
      </c>
      <c r="F179" s="26">
        <v>1.125E-2</v>
      </c>
      <c r="G179" s="26">
        <v>4.8000000000000001E-2</v>
      </c>
      <c r="H179" s="14">
        <v>35</v>
      </c>
      <c r="I179" s="25" t="s">
        <v>60</v>
      </c>
      <c r="J179" s="19">
        <f t="shared" si="14"/>
        <v>1.8112147205682306E-4</v>
      </c>
    </row>
    <row r="180" spans="1:10" x14ac:dyDescent="0.15">
      <c r="A180" s="25" t="s">
        <v>67</v>
      </c>
      <c r="B180" s="25" t="s">
        <v>923</v>
      </c>
      <c r="C180" s="25">
        <v>10.199999999999999</v>
      </c>
      <c r="D180" s="24" t="s">
        <v>17</v>
      </c>
      <c r="E180" s="25" t="s">
        <v>742</v>
      </c>
      <c r="F180" s="26">
        <v>2.8900000000000002E-3</v>
      </c>
      <c r="G180" s="26">
        <v>2.9000000000000001E-2</v>
      </c>
      <c r="H180" s="14">
        <v>25</v>
      </c>
      <c r="I180" s="25" t="s">
        <v>60</v>
      </c>
      <c r="J180" s="19">
        <f t="shared" si="14"/>
        <v>8.5205904506698715E-5</v>
      </c>
    </row>
    <row r="181" spans="1:10" x14ac:dyDescent="0.15">
      <c r="A181" s="25" t="s">
        <v>67</v>
      </c>
      <c r="B181" s="25" t="s">
        <v>923</v>
      </c>
      <c r="C181" s="25">
        <v>10.199999999999999</v>
      </c>
      <c r="D181" s="24" t="s">
        <v>19</v>
      </c>
      <c r="E181" s="25" t="s">
        <v>742</v>
      </c>
      <c r="F181" s="26">
        <v>6.3400000000000001E-3</v>
      </c>
      <c r="G181" s="26">
        <v>1.7000000000000001E-2</v>
      </c>
      <c r="H181" s="14">
        <v>28</v>
      </c>
      <c r="I181" s="25" t="s">
        <v>60</v>
      </c>
      <c r="J181" s="19">
        <f t="shared" si="14"/>
        <v>3.1064859815347376E-4</v>
      </c>
    </row>
    <row r="182" spans="1:10" x14ac:dyDescent="0.15">
      <c r="A182" s="25" t="s">
        <v>67</v>
      </c>
      <c r="B182" s="25" t="s">
        <v>923</v>
      </c>
      <c r="C182" s="25">
        <v>10.199999999999999</v>
      </c>
      <c r="D182" s="24" t="s">
        <v>22</v>
      </c>
      <c r="E182" s="25" t="s">
        <v>742</v>
      </c>
      <c r="F182" s="26">
        <v>3.7000000000000002E-3</v>
      </c>
      <c r="G182" s="26">
        <v>3.2000000000000001E-2</v>
      </c>
      <c r="H182" s="14">
        <v>21</v>
      </c>
      <c r="I182" s="25" t="s">
        <v>60</v>
      </c>
      <c r="J182" s="19">
        <f t="shared" si="14"/>
        <v>1.0183512906956504E-4</v>
      </c>
    </row>
    <row r="183" spans="1:10" x14ac:dyDescent="0.15">
      <c r="A183" s="25" t="s">
        <v>67</v>
      </c>
      <c r="B183" s="25" t="s">
        <v>923</v>
      </c>
      <c r="C183" s="25">
        <v>10.199999999999999</v>
      </c>
      <c r="D183" s="24" t="s">
        <v>4</v>
      </c>
      <c r="E183" s="25" t="s">
        <v>742</v>
      </c>
      <c r="F183" s="26">
        <v>7.0600000000000003E-3</v>
      </c>
      <c r="G183" s="26">
        <v>0.11700000000000001</v>
      </c>
      <c r="H183" s="14">
        <v>0</v>
      </c>
      <c r="I183" s="25" t="s">
        <v>60</v>
      </c>
      <c r="J183" s="19">
        <f t="shared" si="14"/>
        <v>5.6926302209321075E-5</v>
      </c>
    </row>
    <row r="184" spans="1:10" x14ac:dyDescent="0.15">
      <c r="A184" s="25" t="s">
        <v>67</v>
      </c>
      <c r="B184" s="25" t="s">
        <v>923</v>
      </c>
      <c r="C184" s="25">
        <v>10.199999999999999</v>
      </c>
      <c r="D184" s="24" t="s">
        <v>25</v>
      </c>
      <c r="E184" s="25" t="s">
        <v>742</v>
      </c>
      <c r="F184" s="26">
        <v>4.1999999999999997E-3</v>
      </c>
      <c r="G184" s="26">
        <v>4.5999999999999999E-2</v>
      </c>
      <c r="H184" s="14">
        <v>11</v>
      </c>
      <c r="I184" s="25" t="s">
        <v>60</v>
      </c>
      <c r="J184" s="19">
        <f t="shared" si="14"/>
        <v>8.4553613012309047E-5</v>
      </c>
    </row>
    <row r="185" spans="1:10" x14ac:dyDescent="0.15">
      <c r="A185" s="25" t="s">
        <v>67</v>
      </c>
      <c r="B185" s="25" t="s">
        <v>923</v>
      </c>
      <c r="C185" s="25">
        <v>10.199999999999999</v>
      </c>
      <c r="D185" s="24" t="s">
        <v>31</v>
      </c>
      <c r="E185" s="25" t="s">
        <v>742</v>
      </c>
      <c r="F185" s="26">
        <v>1.179E-2</v>
      </c>
      <c r="G185" s="26">
        <v>8.3000000000000004E-2</v>
      </c>
      <c r="H185" s="14">
        <v>0</v>
      </c>
      <c r="I185" s="25" t="s">
        <v>60</v>
      </c>
      <c r="J185" s="19">
        <f t="shared" si="14"/>
        <v>1.3400772902932484E-4</v>
      </c>
    </row>
    <row r="186" spans="1:10" x14ac:dyDescent="0.15">
      <c r="A186" s="25" t="s">
        <v>67</v>
      </c>
      <c r="B186" s="25" t="s">
        <v>923</v>
      </c>
      <c r="C186" s="25">
        <v>10.199999999999999</v>
      </c>
      <c r="D186" s="24" t="s">
        <v>29</v>
      </c>
      <c r="E186" s="25" t="s">
        <v>742</v>
      </c>
      <c r="F186" s="25">
        <v>6.1839999999999999E-2</v>
      </c>
      <c r="G186" s="26">
        <v>0.123</v>
      </c>
      <c r="H186" s="14">
        <v>0</v>
      </c>
      <c r="I186" s="25" t="s">
        <v>60</v>
      </c>
      <c r="J186" s="19">
        <f t="shared" si="14"/>
        <v>4.7430587513422307E-4</v>
      </c>
    </row>
    <row r="187" spans="1:10" x14ac:dyDescent="0.15">
      <c r="A187" s="25" t="s">
        <v>67</v>
      </c>
      <c r="B187" s="25" t="s">
        <v>923</v>
      </c>
      <c r="C187" s="25">
        <v>10.199999999999999</v>
      </c>
      <c r="D187" s="24" t="s">
        <v>33</v>
      </c>
      <c r="E187" s="25" t="s">
        <v>742</v>
      </c>
      <c r="F187" s="26">
        <v>1.5559999999999999E-2</v>
      </c>
      <c r="G187" s="26">
        <v>7.1999999999999995E-2</v>
      </c>
      <c r="H187" s="14">
        <v>0</v>
      </c>
      <c r="I187" s="25" t="s">
        <v>60</v>
      </c>
      <c r="J187" s="19">
        <f t="shared" si="14"/>
        <v>2.0387840670859541E-4</v>
      </c>
    </row>
    <row r="188" spans="1:10" x14ac:dyDescent="0.15">
      <c r="A188" s="25" t="s">
        <v>67</v>
      </c>
      <c r="B188" s="25" t="s">
        <v>923</v>
      </c>
      <c r="C188" s="25">
        <v>10.199999999999999</v>
      </c>
      <c r="D188" s="24" t="s">
        <v>91</v>
      </c>
      <c r="E188" s="25" t="s">
        <v>742</v>
      </c>
      <c r="F188" s="26">
        <v>4.8199999999999996E-3</v>
      </c>
      <c r="G188" s="26">
        <v>8.3000000000000004E-2</v>
      </c>
      <c r="H188" s="14">
        <v>0</v>
      </c>
      <c r="I188" s="25" t="s">
        <v>60</v>
      </c>
      <c r="J188" s="19">
        <f t="shared" si="14"/>
        <v>5.4785178449647642E-5</v>
      </c>
    </row>
    <row r="189" spans="1:10" x14ac:dyDescent="0.15">
      <c r="A189" s="25" t="s">
        <v>67</v>
      </c>
      <c r="B189" s="25" t="s">
        <v>923</v>
      </c>
      <c r="C189" s="25">
        <v>10.199999999999999</v>
      </c>
      <c r="D189" s="24" t="s">
        <v>92</v>
      </c>
      <c r="E189" s="25" t="s">
        <v>742</v>
      </c>
      <c r="F189" s="26">
        <v>1.8919999999999999E-2</v>
      </c>
      <c r="G189" s="26">
        <v>0.122</v>
      </c>
      <c r="H189" s="14">
        <v>0</v>
      </c>
      <c r="I189" s="25" t="s">
        <v>60</v>
      </c>
      <c r="J189" s="19">
        <f t="shared" si="14"/>
        <v>1.4630374265388186E-4</v>
      </c>
    </row>
    <row r="190" spans="1:10" x14ac:dyDescent="0.15">
      <c r="A190" s="25" t="s">
        <v>67</v>
      </c>
      <c r="B190" s="25" t="s">
        <v>923</v>
      </c>
      <c r="C190" s="25">
        <v>10.199999999999999</v>
      </c>
      <c r="D190" s="24" t="s">
        <v>35</v>
      </c>
      <c r="E190" s="25" t="s">
        <v>742</v>
      </c>
      <c r="F190" s="26">
        <v>7.3699999999999998E-3</v>
      </c>
      <c r="G190" s="26">
        <v>5.8999999999999997E-2</v>
      </c>
      <c r="H190" s="14">
        <v>19</v>
      </c>
      <c r="I190" s="25" t="s">
        <v>60</v>
      </c>
      <c r="J190" s="19">
        <f t="shared" si="14"/>
        <v>1.1142423892176151E-4</v>
      </c>
    </row>
    <row r="191" spans="1:10" x14ac:dyDescent="0.15">
      <c r="A191" s="25" t="s">
        <v>67</v>
      </c>
      <c r="B191" s="25" t="s">
        <v>923</v>
      </c>
      <c r="C191" s="25">
        <v>10.199999999999999</v>
      </c>
      <c r="D191" s="24" t="s">
        <v>90</v>
      </c>
      <c r="E191" s="25" t="s">
        <v>742</v>
      </c>
      <c r="F191" s="26">
        <v>8.0000000000000004E-4</v>
      </c>
      <c r="G191" s="26">
        <v>8.2000000000000003E-2</v>
      </c>
      <c r="H191" s="14">
        <v>0</v>
      </c>
      <c r="I191" s="25" t="s">
        <v>60</v>
      </c>
      <c r="J191" s="19">
        <f t="shared" si="14"/>
        <v>9.2038656235618958E-6</v>
      </c>
    </row>
    <row r="192" spans="1:10" x14ac:dyDescent="0.15">
      <c r="A192" s="25" t="s">
        <v>67</v>
      </c>
      <c r="B192" s="25" t="s">
        <v>923</v>
      </c>
      <c r="C192" s="25">
        <v>10.199999999999999</v>
      </c>
      <c r="D192" s="24" t="s">
        <v>80</v>
      </c>
      <c r="E192" s="25" t="s">
        <v>742</v>
      </c>
      <c r="F192" s="26">
        <v>7.4999999999999997E-3</v>
      </c>
      <c r="G192" s="26">
        <v>8.6999999999999994E-2</v>
      </c>
      <c r="H192" s="14">
        <v>0</v>
      </c>
      <c r="I192" s="25" t="s">
        <v>60</v>
      </c>
      <c r="J192" s="19">
        <f t="shared" si="14"/>
        <v>8.1327260897852953E-5</v>
      </c>
    </row>
    <row r="193" spans="1:10" x14ac:dyDescent="0.15">
      <c r="A193" s="25" t="s">
        <v>67</v>
      </c>
      <c r="B193" s="25" t="s">
        <v>923</v>
      </c>
      <c r="C193" s="25">
        <v>10.199999999999999</v>
      </c>
      <c r="D193" s="24" t="s">
        <v>37</v>
      </c>
      <c r="E193" s="25" t="s">
        <v>742</v>
      </c>
      <c r="F193" s="26">
        <v>7.3000000000000001E-3</v>
      </c>
      <c r="G193" s="26">
        <v>8.6999999999999994E-2</v>
      </c>
      <c r="H193" s="14">
        <v>0</v>
      </c>
      <c r="I193" s="25" t="s">
        <v>60</v>
      </c>
      <c r="J193" s="19">
        <f t="shared" si="14"/>
        <v>7.9158533940576882E-5</v>
      </c>
    </row>
    <row r="194" spans="1:10" x14ac:dyDescent="0.15">
      <c r="A194" s="25" t="s">
        <v>67</v>
      </c>
      <c r="B194" s="25" t="s">
        <v>923</v>
      </c>
      <c r="C194" s="25">
        <v>10.199999999999999</v>
      </c>
      <c r="D194" s="24" t="s">
        <v>38</v>
      </c>
      <c r="E194" s="25" t="s">
        <v>742</v>
      </c>
      <c r="F194" s="26">
        <v>4.9699999999999996E-3</v>
      </c>
      <c r="G194" s="26">
        <v>8.6999999999999994E-2</v>
      </c>
      <c r="H194" s="14">
        <v>0</v>
      </c>
      <c r="I194" s="25" t="s">
        <v>60</v>
      </c>
      <c r="J194" s="19">
        <f t="shared" si="14"/>
        <v>5.3892864888310559E-5</v>
      </c>
    </row>
    <row r="195" spans="1:10" x14ac:dyDescent="0.15">
      <c r="A195" s="25" t="s">
        <v>67</v>
      </c>
      <c r="B195" s="25" t="s">
        <v>923</v>
      </c>
      <c r="C195" s="25">
        <v>10.199999999999999</v>
      </c>
      <c r="D195" s="24" t="s">
        <v>41</v>
      </c>
      <c r="E195" s="25" t="s">
        <v>742</v>
      </c>
      <c r="F195" s="26">
        <v>1.1180000000000001E-2</v>
      </c>
      <c r="G195" s="26">
        <v>6.2E-2</v>
      </c>
      <c r="H195" s="14">
        <v>18</v>
      </c>
      <c r="I195" s="25" t="s">
        <v>60</v>
      </c>
      <c r="J195" s="19">
        <f t="shared" si="14"/>
        <v>1.6178958996013111E-4</v>
      </c>
    </row>
    <row r="196" spans="1:10" x14ac:dyDescent="0.15">
      <c r="A196" s="25" t="s">
        <v>67</v>
      </c>
      <c r="B196" s="25" t="s">
        <v>923</v>
      </c>
      <c r="C196" s="25">
        <v>10.199999999999999</v>
      </c>
      <c r="D196" s="24" t="s">
        <v>28</v>
      </c>
      <c r="E196" s="25" t="s">
        <v>742</v>
      </c>
      <c r="F196" s="26">
        <v>5.7000000000000002E-3</v>
      </c>
      <c r="G196" s="26">
        <v>3.4000000000000002E-2</v>
      </c>
      <c r="H196" s="14">
        <v>23</v>
      </c>
      <c r="I196" s="25" t="s">
        <v>60</v>
      </c>
      <c r="J196" s="19">
        <f t="shared" si="14"/>
        <v>1.455848408623449E-4</v>
      </c>
    </row>
    <row r="197" spans="1:10" x14ac:dyDescent="0.15">
      <c r="A197" s="25" t="s">
        <v>67</v>
      </c>
      <c r="B197" s="25" t="s">
        <v>923</v>
      </c>
      <c r="C197" s="25">
        <v>10.199999999999999</v>
      </c>
      <c r="D197" s="24" t="s">
        <v>93</v>
      </c>
      <c r="E197" s="25" t="s">
        <v>742</v>
      </c>
      <c r="F197" s="26">
        <v>6.9300000000000004E-3</v>
      </c>
      <c r="G197" s="26">
        <v>0.05</v>
      </c>
      <c r="H197" s="14">
        <v>26</v>
      </c>
      <c r="I197" s="25" t="s">
        <v>60</v>
      </c>
      <c r="J197" s="19">
        <f t="shared" si="14"/>
        <v>1.1752156114817411E-4</v>
      </c>
    </row>
    <row r="198" spans="1:10" x14ac:dyDescent="0.15">
      <c r="A198" s="25" t="s">
        <v>67</v>
      </c>
      <c r="B198" s="25" t="s">
        <v>923</v>
      </c>
      <c r="C198" s="25">
        <v>10.199999999999999</v>
      </c>
      <c r="D198" s="24" t="s">
        <v>46</v>
      </c>
      <c r="E198" s="25" t="s">
        <v>742</v>
      </c>
      <c r="F198" s="26">
        <v>3.3400000000000001E-3</v>
      </c>
      <c r="G198" s="26">
        <v>1.6E-2</v>
      </c>
      <c r="H198" s="14">
        <v>34</v>
      </c>
      <c r="I198" s="25" t="s">
        <v>60</v>
      </c>
      <c r="J198" s="19">
        <f t="shared" si="14"/>
        <v>1.6326565402911784E-4</v>
      </c>
    </row>
    <row r="199" spans="1:10" x14ac:dyDescent="0.15">
      <c r="A199" s="25" t="s">
        <v>67</v>
      </c>
      <c r="B199" s="25" t="s">
        <v>923</v>
      </c>
      <c r="C199" s="25">
        <v>10.199999999999999</v>
      </c>
      <c r="D199" s="24" t="s">
        <v>48</v>
      </c>
      <c r="E199" s="25" t="s">
        <v>742</v>
      </c>
      <c r="F199" s="26">
        <v>1.6E-2</v>
      </c>
      <c r="G199" s="26">
        <v>6.9000000000000006E-2</v>
      </c>
      <c r="H199" s="14">
        <v>0</v>
      </c>
      <c r="I199" s="25" t="s">
        <v>60</v>
      </c>
      <c r="J199" s="19">
        <f t="shared" si="14"/>
        <v>2.1875854525567405E-4</v>
      </c>
    </row>
    <row r="200" spans="1:10" x14ac:dyDescent="0.15">
      <c r="A200" s="25" t="s">
        <v>67</v>
      </c>
      <c r="B200" s="25" t="s">
        <v>923</v>
      </c>
      <c r="C200" s="25">
        <v>10.199999999999999</v>
      </c>
      <c r="D200" s="24" t="s">
        <v>49</v>
      </c>
      <c r="E200" s="25" t="s">
        <v>742</v>
      </c>
      <c r="F200" s="26">
        <v>0.18354999999999999</v>
      </c>
      <c r="G200" s="26">
        <v>1.2999999999999999E-2</v>
      </c>
      <c r="H200" s="14">
        <v>10</v>
      </c>
      <c r="I200" s="25" t="s">
        <v>60</v>
      </c>
      <c r="J200" s="19">
        <f t="shared" si="14"/>
        <v>1.31176678567047E-2</v>
      </c>
    </row>
    <row r="201" spans="1:10" x14ac:dyDescent="0.15">
      <c r="A201" s="25" t="s">
        <v>67</v>
      </c>
      <c r="B201" s="25" t="s">
        <v>923</v>
      </c>
      <c r="C201" s="25">
        <v>10.199999999999999</v>
      </c>
      <c r="D201" s="24" t="s">
        <v>52</v>
      </c>
      <c r="E201" s="25" t="s">
        <v>743</v>
      </c>
      <c r="F201" s="26">
        <v>1.3480000000000001E-2</v>
      </c>
      <c r="G201" s="26">
        <v>2.5000000000000001E-2</v>
      </c>
      <c r="H201" s="14">
        <v>33</v>
      </c>
      <c r="I201" s="25" t="s">
        <v>60</v>
      </c>
      <c r="J201" s="19">
        <f t="shared" si="14"/>
        <v>4.2661431154355909E-4</v>
      </c>
    </row>
    <row r="202" spans="1:10" x14ac:dyDescent="0.15">
      <c r="A202" s="25" t="s">
        <v>67</v>
      </c>
      <c r="B202" s="25" t="s">
        <v>923</v>
      </c>
      <c r="C202" s="25">
        <v>10.199999999999999</v>
      </c>
      <c r="D202" s="24" t="s">
        <v>51</v>
      </c>
      <c r="E202" s="25" t="s">
        <v>743</v>
      </c>
      <c r="F202" s="26">
        <v>5.7499999999999999E-3</v>
      </c>
      <c r="G202" s="26">
        <v>6.3E-2</v>
      </c>
      <c r="H202" s="14">
        <v>0</v>
      </c>
      <c r="I202" s="25" t="s">
        <v>60</v>
      </c>
      <c r="J202" s="19">
        <f t="shared" si="14"/>
        <v>8.610362383947289E-5</v>
      </c>
    </row>
    <row r="203" spans="1:10" x14ac:dyDescent="0.15">
      <c r="A203" s="25" t="s">
        <v>67</v>
      </c>
      <c r="B203" s="25" t="s">
        <v>923</v>
      </c>
      <c r="C203" s="25">
        <v>10.199999999999999</v>
      </c>
      <c r="D203" s="24" t="s">
        <v>6</v>
      </c>
      <c r="E203" s="25" t="s">
        <v>743</v>
      </c>
      <c r="F203" s="26">
        <v>6.3400000000000001E-3</v>
      </c>
      <c r="G203" s="26">
        <v>1.2E-2</v>
      </c>
      <c r="H203" s="14">
        <v>25</v>
      </c>
      <c r="I203" s="25" t="s">
        <v>60</v>
      </c>
      <c r="J203" s="19">
        <f t="shared" si="14"/>
        <v>4.5172888127455668E-4</v>
      </c>
    </row>
    <row r="204" spans="1:10" x14ac:dyDescent="0.15">
      <c r="A204" s="25" t="s">
        <v>67</v>
      </c>
      <c r="B204" s="25" t="s">
        <v>923</v>
      </c>
      <c r="C204" s="25">
        <v>10.199999999999999</v>
      </c>
      <c r="D204" s="24" t="s">
        <v>7</v>
      </c>
      <c r="E204" s="25" t="s">
        <v>743</v>
      </c>
      <c r="F204" s="26">
        <v>2.0400000000000001E-3</v>
      </c>
      <c r="G204" s="26">
        <v>1.9E-2</v>
      </c>
      <c r="H204" s="14">
        <v>20</v>
      </c>
      <c r="I204" s="25" t="s">
        <v>60</v>
      </c>
      <c r="J204" s="19">
        <f t="shared" si="14"/>
        <v>9.518237072508706E-5</v>
      </c>
    </row>
    <row r="205" spans="1:10" x14ac:dyDescent="0.15">
      <c r="A205" s="25" t="s">
        <v>67</v>
      </c>
      <c r="B205" s="25" t="s">
        <v>923</v>
      </c>
      <c r="C205" s="25">
        <v>10.199999999999999</v>
      </c>
      <c r="D205" s="24" t="s">
        <v>8</v>
      </c>
      <c r="E205" s="25" t="s">
        <v>743</v>
      </c>
      <c r="F205" s="26">
        <v>5.3600000000000002E-3</v>
      </c>
      <c r="G205" s="26">
        <v>7.1999999999999995E-2</v>
      </c>
      <c r="H205" s="14">
        <v>0</v>
      </c>
      <c r="I205" s="25" t="s">
        <v>60</v>
      </c>
      <c r="J205" s="19">
        <f t="shared" si="14"/>
        <v>7.0230607966457028E-5</v>
      </c>
    </row>
    <row r="206" spans="1:10" x14ac:dyDescent="0.15">
      <c r="A206" s="25" t="s">
        <v>67</v>
      </c>
      <c r="B206" s="25" t="s">
        <v>923</v>
      </c>
      <c r="C206" s="25">
        <v>10.199999999999999</v>
      </c>
      <c r="D206" s="24" t="s">
        <v>54</v>
      </c>
      <c r="E206" s="25" t="s">
        <v>743</v>
      </c>
      <c r="F206" s="26">
        <v>6.94E-3</v>
      </c>
      <c r="G206" s="26">
        <v>4.8000000000000001E-2</v>
      </c>
      <c r="H206" s="14">
        <v>0</v>
      </c>
      <c r="I206" s="25" t="s">
        <v>60</v>
      </c>
      <c r="J206" s="19">
        <f t="shared" si="14"/>
        <v>1.3639937106918237E-4</v>
      </c>
    </row>
    <row r="207" spans="1:10" x14ac:dyDescent="0.15">
      <c r="A207" s="25" t="s">
        <v>67</v>
      </c>
      <c r="B207" s="25" t="s">
        <v>923</v>
      </c>
      <c r="C207" s="25">
        <v>10.199999999999999</v>
      </c>
      <c r="D207" s="24" t="s">
        <v>257</v>
      </c>
      <c r="E207" s="25" t="s">
        <v>743</v>
      </c>
      <c r="F207" s="26">
        <v>1.49E-3</v>
      </c>
      <c r="G207" s="26">
        <v>0.01</v>
      </c>
      <c r="H207" s="14">
        <v>23</v>
      </c>
      <c r="I207" s="25" t="s">
        <v>60</v>
      </c>
      <c r="J207" s="19">
        <f t="shared" ref="J207" si="15">F207*COS(RADIANS(H207))/(1060*G207)</f>
        <v>1.2939171996642794E-4</v>
      </c>
    </row>
    <row r="208" spans="1:10" x14ac:dyDescent="0.15">
      <c r="A208" s="25" t="s">
        <v>67</v>
      </c>
      <c r="B208" s="25" t="s">
        <v>923</v>
      </c>
      <c r="C208" s="25">
        <v>10.199999999999999</v>
      </c>
      <c r="D208" s="24" t="s">
        <v>9</v>
      </c>
      <c r="E208" s="25" t="s">
        <v>743</v>
      </c>
      <c r="F208" s="26">
        <v>2.33E-3</v>
      </c>
      <c r="G208" s="26">
        <v>1.2999999999999999E-2</v>
      </c>
      <c r="H208" s="14">
        <v>23</v>
      </c>
      <c r="I208" s="25" t="s">
        <v>60</v>
      </c>
      <c r="J208" s="19">
        <f t="shared" si="14"/>
        <v>1.5564414430654472E-4</v>
      </c>
    </row>
    <row r="209" spans="1:10" x14ac:dyDescent="0.15">
      <c r="A209" s="25" t="s">
        <v>67</v>
      </c>
      <c r="B209" s="25" t="s">
        <v>923</v>
      </c>
      <c r="C209" s="25">
        <v>10.199999999999999</v>
      </c>
      <c r="D209" s="24" t="s">
        <v>89</v>
      </c>
      <c r="E209" s="25" t="s">
        <v>743</v>
      </c>
      <c r="F209" s="26">
        <v>8.9999999999999998E-4</v>
      </c>
      <c r="G209" s="26">
        <v>1.2999999999999999E-2</v>
      </c>
      <c r="H209" s="14">
        <v>25</v>
      </c>
      <c r="I209" s="25" t="s">
        <v>60</v>
      </c>
      <c r="J209" s="19">
        <f t="shared" si="14"/>
        <v>5.9192816279607037E-5</v>
      </c>
    </row>
    <row r="210" spans="1:10" x14ac:dyDescent="0.15">
      <c r="A210" s="25" t="s">
        <v>67</v>
      </c>
      <c r="B210" s="25" t="s">
        <v>923</v>
      </c>
      <c r="C210" s="25">
        <v>10.199999999999999</v>
      </c>
      <c r="D210" s="24" t="s">
        <v>11</v>
      </c>
      <c r="E210" s="25" t="s">
        <v>743</v>
      </c>
      <c r="F210" s="26">
        <v>6.4900000000000001E-3</v>
      </c>
      <c r="G210" s="26">
        <v>1.2999999999999999E-2</v>
      </c>
      <c r="H210" s="14">
        <v>30</v>
      </c>
      <c r="I210" s="25" t="s">
        <v>60</v>
      </c>
      <c r="J210" s="19">
        <f t="shared" si="14"/>
        <v>4.0787408349499327E-4</v>
      </c>
    </row>
    <row r="211" spans="1:10" x14ac:dyDescent="0.15">
      <c r="A211" s="32" t="s">
        <v>62</v>
      </c>
      <c r="B211" s="32" t="s">
        <v>924</v>
      </c>
      <c r="C211" s="32">
        <v>42</v>
      </c>
      <c r="D211" s="44" t="s">
        <v>11</v>
      </c>
      <c r="E211" s="32" t="s">
        <v>742</v>
      </c>
      <c r="F211" s="5">
        <v>0.44400000000000001</v>
      </c>
      <c r="G211" s="5">
        <v>0.219</v>
      </c>
      <c r="H211" s="5">
        <v>0</v>
      </c>
      <c r="I211" s="32" t="s">
        <v>59</v>
      </c>
      <c r="J211" s="19">
        <f t="shared" ref="J211:J230" si="16">F211*COS(RADIANS(H211))/(1060*G211)</f>
        <v>1.9126389247867668E-3</v>
      </c>
    </row>
    <row r="212" spans="1:10" x14ac:dyDescent="0.15">
      <c r="A212" s="32" t="s">
        <v>62</v>
      </c>
      <c r="B212" s="32" t="s">
        <v>924</v>
      </c>
      <c r="C212" s="32">
        <v>42</v>
      </c>
      <c r="D212" s="44" t="s">
        <v>15</v>
      </c>
      <c r="E212" s="32" t="s">
        <v>742</v>
      </c>
      <c r="F212" s="5">
        <v>0.753</v>
      </c>
      <c r="G212" s="5">
        <v>0.126</v>
      </c>
      <c r="H212" s="5">
        <v>13</v>
      </c>
      <c r="I212" s="32" t="s">
        <v>59</v>
      </c>
      <c r="J212" s="19">
        <f t="shared" si="16"/>
        <v>5.4934161334477547E-3</v>
      </c>
    </row>
    <row r="213" spans="1:10" x14ac:dyDescent="0.15">
      <c r="A213" s="32" t="s">
        <v>62</v>
      </c>
      <c r="B213" s="32" t="s">
        <v>924</v>
      </c>
      <c r="C213" s="32">
        <v>42</v>
      </c>
      <c r="D213" s="44" t="s">
        <v>5</v>
      </c>
      <c r="E213" s="32" t="s">
        <v>742</v>
      </c>
      <c r="F213" s="5">
        <v>5.3999999999999999E-2</v>
      </c>
      <c r="G213" s="5">
        <v>9.5000000000000001E-2</v>
      </c>
      <c r="H213" s="5">
        <v>0</v>
      </c>
      <c r="I213" s="32" t="s">
        <v>59</v>
      </c>
      <c r="J213" s="19">
        <f t="shared" si="16"/>
        <v>5.3624627606752733E-4</v>
      </c>
    </row>
    <row r="214" spans="1:10" x14ac:dyDescent="0.15">
      <c r="A214" s="32" t="s">
        <v>62</v>
      </c>
      <c r="B214" s="32" t="s">
        <v>924</v>
      </c>
      <c r="C214" s="32">
        <v>42</v>
      </c>
      <c r="D214" s="44" t="s">
        <v>20</v>
      </c>
      <c r="E214" s="32" t="s">
        <v>742</v>
      </c>
      <c r="F214" s="5">
        <v>0.45100000000000001</v>
      </c>
      <c r="G214" s="5">
        <v>8.7666666670000004E-2</v>
      </c>
      <c r="H214" s="5">
        <v>0</v>
      </c>
      <c r="I214" s="32" t="s">
        <v>59</v>
      </c>
      <c r="J214" s="19">
        <f t="shared" si="16"/>
        <v>4.8532893319052839E-3</v>
      </c>
    </row>
    <row r="215" spans="1:10" x14ac:dyDescent="0.15">
      <c r="A215" s="32" t="s">
        <v>62</v>
      </c>
      <c r="B215" s="32" t="s">
        <v>924</v>
      </c>
      <c r="C215" s="32">
        <v>42</v>
      </c>
      <c r="D215" s="44" t="s">
        <v>744</v>
      </c>
      <c r="E215" s="32" t="s">
        <v>742</v>
      </c>
      <c r="F215" s="5">
        <v>7.6999999999999999E-2</v>
      </c>
      <c r="G215" s="5">
        <v>7.3999999999999996E-2</v>
      </c>
      <c r="H215" s="5">
        <v>44</v>
      </c>
      <c r="I215" s="32" t="s">
        <v>59</v>
      </c>
      <c r="J215" s="19">
        <f t="shared" si="16"/>
        <v>7.0613417422330622E-4</v>
      </c>
    </row>
    <row r="216" spans="1:10" x14ac:dyDescent="0.15">
      <c r="A216" s="32" t="s">
        <v>62</v>
      </c>
      <c r="B216" s="32" t="s">
        <v>924</v>
      </c>
      <c r="C216" s="32">
        <v>42</v>
      </c>
      <c r="D216" s="44" t="s">
        <v>21</v>
      </c>
      <c r="E216" s="32" t="s">
        <v>742</v>
      </c>
      <c r="F216" s="5">
        <v>0.13300000000000001</v>
      </c>
      <c r="G216" s="5">
        <v>6.9166666670000002E-2</v>
      </c>
      <c r="H216" s="5">
        <v>0</v>
      </c>
      <c r="I216" s="32" t="s">
        <v>59</v>
      </c>
      <c r="J216" s="19">
        <f t="shared" si="16"/>
        <v>1.8140486473324441E-3</v>
      </c>
    </row>
    <row r="217" spans="1:10" x14ac:dyDescent="0.15">
      <c r="A217" s="32" t="s">
        <v>62</v>
      </c>
      <c r="B217" s="32" t="s">
        <v>924</v>
      </c>
      <c r="C217" s="32">
        <v>42</v>
      </c>
      <c r="D217" s="44" t="s">
        <v>4</v>
      </c>
      <c r="E217" s="32" t="s">
        <v>742</v>
      </c>
      <c r="F217" s="5">
        <v>0.62</v>
      </c>
      <c r="G217" s="5">
        <v>0.20749999999999999</v>
      </c>
      <c r="H217" s="5">
        <v>0</v>
      </c>
      <c r="I217" s="32" t="s">
        <v>59</v>
      </c>
      <c r="J217" s="19">
        <f t="shared" si="16"/>
        <v>2.8188224596499205E-3</v>
      </c>
    </row>
    <row r="218" spans="1:10" x14ac:dyDescent="0.15">
      <c r="A218" s="32" t="s">
        <v>62</v>
      </c>
      <c r="B218" s="32" t="s">
        <v>924</v>
      </c>
      <c r="C218" s="32">
        <v>42</v>
      </c>
      <c r="D218" s="44" t="s">
        <v>24</v>
      </c>
      <c r="E218" s="32" t="s">
        <v>742</v>
      </c>
      <c r="F218" s="5">
        <v>2.7E-2</v>
      </c>
      <c r="G218" s="5">
        <v>0.06</v>
      </c>
      <c r="H218" s="5">
        <v>0</v>
      </c>
      <c r="I218" s="32" t="s">
        <v>59</v>
      </c>
      <c r="J218" s="19">
        <f t="shared" si="16"/>
        <v>4.245283018867925E-4</v>
      </c>
    </row>
    <row r="219" spans="1:10" x14ac:dyDescent="0.15">
      <c r="A219" s="32" t="s">
        <v>62</v>
      </c>
      <c r="B219" s="32" t="s">
        <v>924</v>
      </c>
      <c r="C219" s="32">
        <v>42</v>
      </c>
      <c r="D219" s="44" t="s">
        <v>746</v>
      </c>
      <c r="E219" s="32" t="s">
        <v>742</v>
      </c>
      <c r="F219" s="5">
        <v>0.33600000000000002</v>
      </c>
      <c r="G219" s="5">
        <v>0.109</v>
      </c>
      <c r="H219" s="5">
        <v>30</v>
      </c>
      <c r="I219" s="32" t="s">
        <v>59</v>
      </c>
      <c r="J219" s="19">
        <f t="shared" si="16"/>
        <v>2.5184744302542096E-3</v>
      </c>
    </row>
    <row r="220" spans="1:10" x14ac:dyDescent="0.15">
      <c r="A220" s="32" t="s">
        <v>62</v>
      </c>
      <c r="B220" s="32" t="s">
        <v>924</v>
      </c>
      <c r="C220" s="32">
        <v>42</v>
      </c>
      <c r="D220" s="44" t="s">
        <v>26</v>
      </c>
      <c r="E220" s="32" t="s">
        <v>742</v>
      </c>
      <c r="F220" s="5">
        <v>4.3999999999999997E-2</v>
      </c>
      <c r="G220" s="5">
        <v>3.0499999999999999E-2</v>
      </c>
      <c r="H220" s="5">
        <v>27</v>
      </c>
      <c r="I220" s="32" t="s">
        <v>59</v>
      </c>
      <c r="J220" s="19">
        <f t="shared" si="16"/>
        <v>1.2126287369096252E-3</v>
      </c>
    </row>
    <row r="221" spans="1:10" x14ac:dyDescent="0.15">
      <c r="A221" s="32" t="s">
        <v>62</v>
      </c>
      <c r="B221" s="32" t="s">
        <v>924</v>
      </c>
      <c r="C221" s="32">
        <v>42</v>
      </c>
      <c r="D221" s="44" t="s">
        <v>27</v>
      </c>
      <c r="E221" s="32" t="s">
        <v>742</v>
      </c>
      <c r="F221" s="5">
        <v>3.7000000000000002E-3</v>
      </c>
      <c r="G221" s="5">
        <v>3.7199999999999997E-2</v>
      </c>
      <c r="H221" s="5">
        <v>0</v>
      </c>
      <c r="I221" s="32" t="s">
        <v>59</v>
      </c>
      <c r="J221" s="19">
        <f t="shared" si="16"/>
        <v>9.3832420369243272E-5</v>
      </c>
    </row>
    <row r="222" spans="1:10" x14ac:dyDescent="0.15">
      <c r="A222" s="32" t="s">
        <v>62</v>
      </c>
      <c r="B222" s="32" t="s">
        <v>924</v>
      </c>
      <c r="C222" s="32">
        <v>42</v>
      </c>
      <c r="D222" s="44" t="s">
        <v>32</v>
      </c>
      <c r="E222" s="32" t="s">
        <v>742</v>
      </c>
      <c r="F222" s="5">
        <v>0.27</v>
      </c>
      <c r="G222" s="5">
        <v>0.23250000000000001</v>
      </c>
      <c r="H222" s="5">
        <v>0</v>
      </c>
      <c r="I222" s="32" t="s">
        <v>59</v>
      </c>
      <c r="J222" s="19">
        <f t="shared" si="16"/>
        <v>1.0955569080949483E-3</v>
      </c>
    </row>
    <row r="223" spans="1:10" x14ac:dyDescent="0.15">
      <c r="A223" s="32" t="s">
        <v>62</v>
      </c>
      <c r="B223" s="32" t="s">
        <v>924</v>
      </c>
      <c r="C223" s="32">
        <v>42</v>
      </c>
      <c r="D223" s="44" t="s">
        <v>94</v>
      </c>
      <c r="E223" s="32" t="s">
        <v>742</v>
      </c>
      <c r="F223" s="5">
        <v>8.4000000000000005E-2</v>
      </c>
      <c r="G223" s="5">
        <v>0.08</v>
      </c>
      <c r="H223" s="5">
        <v>0</v>
      </c>
      <c r="I223" s="32" t="s">
        <v>59</v>
      </c>
      <c r="J223" s="19">
        <f t="shared" si="16"/>
        <v>9.9056603773584918E-4</v>
      </c>
    </row>
    <row r="224" spans="1:10" x14ac:dyDescent="0.15">
      <c r="A224" s="32" t="s">
        <v>62</v>
      </c>
      <c r="B224" s="32" t="s">
        <v>924</v>
      </c>
      <c r="C224" s="32">
        <v>42</v>
      </c>
      <c r="D224" s="44" t="s">
        <v>34</v>
      </c>
      <c r="E224" s="32" t="s">
        <v>742</v>
      </c>
      <c r="F224" s="5">
        <v>7.3999999999999996E-2</v>
      </c>
      <c r="G224" s="5">
        <v>0.13600000000000001</v>
      </c>
      <c r="H224" s="5">
        <v>0</v>
      </c>
      <c r="I224" s="32" t="s">
        <v>59</v>
      </c>
      <c r="J224" s="19">
        <f t="shared" si="16"/>
        <v>5.1331853496115428E-4</v>
      </c>
    </row>
    <row r="225" spans="1:10" x14ac:dyDescent="0.15">
      <c r="A225" s="32" t="s">
        <v>62</v>
      </c>
      <c r="B225" s="32" t="s">
        <v>924</v>
      </c>
      <c r="C225" s="32">
        <v>42</v>
      </c>
      <c r="D225" s="44" t="s">
        <v>36</v>
      </c>
      <c r="E225" s="32" t="s">
        <v>742</v>
      </c>
      <c r="F225" s="5">
        <v>0.14299999999999999</v>
      </c>
      <c r="G225" s="5">
        <v>8.5599999999999996E-2</v>
      </c>
      <c r="H225" s="5">
        <v>28.5</v>
      </c>
      <c r="I225" s="32" t="s">
        <v>59</v>
      </c>
      <c r="J225" s="19">
        <f t="shared" si="16"/>
        <v>1.3850163894227325E-3</v>
      </c>
    </row>
    <row r="226" spans="1:10" x14ac:dyDescent="0.15">
      <c r="A226" s="32" t="s">
        <v>62</v>
      </c>
      <c r="B226" s="32" t="s">
        <v>924</v>
      </c>
      <c r="C226" s="32">
        <v>42</v>
      </c>
      <c r="D226" s="5" t="s">
        <v>42</v>
      </c>
      <c r="E226" s="32" t="s">
        <v>742</v>
      </c>
      <c r="F226" s="5">
        <v>7.8E-2</v>
      </c>
      <c r="G226" s="5">
        <v>2.6666666669999999E-2</v>
      </c>
      <c r="H226" s="5">
        <v>36</v>
      </c>
      <c r="I226" s="32" t="s">
        <v>59</v>
      </c>
      <c r="J226" s="19">
        <f t="shared" si="16"/>
        <v>2.2324289700480417E-3</v>
      </c>
    </row>
    <row r="227" spans="1:10" x14ac:dyDescent="0.15">
      <c r="A227" s="32" t="s">
        <v>62</v>
      </c>
      <c r="B227" s="32" t="s">
        <v>924</v>
      </c>
      <c r="C227" s="32">
        <v>42</v>
      </c>
      <c r="D227" s="5" t="s">
        <v>43</v>
      </c>
      <c r="E227" s="32" t="s">
        <v>742</v>
      </c>
      <c r="F227" s="5">
        <v>0.14099999999999999</v>
      </c>
      <c r="G227" s="5">
        <v>4.6333333329999997E-2</v>
      </c>
      <c r="H227" s="5">
        <v>31.666666670000001</v>
      </c>
      <c r="I227" s="32" t="s">
        <v>59</v>
      </c>
      <c r="J227" s="19">
        <f t="shared" si="16"/>
        <v>2.4434800628059762E-3</v>
      </c>
    </row>
    <row r="228" spans="1:10" x14ac:dyDescent="0.15">
      <c r="A228" s="32" t="s">
        <v>62</v>
      </c>
      <c r="B228" s="32" t="s">
        <v>924</v>
      </c>
      <c r="C228" s="32">
        <v>42</v>
      </c>
      <c r="D228" s="44" t="s">
        <v>45</v>
      </c>
      <c r="E228" s="32" t="s">
        <v>742</v>
      </c>
      <c r="F228" s="5">
        <v>5.0000000000000001E-3</v>
      </c>
      <c r="G228" s="5">
        <v>3.7499999999999999E-2</v>
      </c>
      <c r="H228" s="5">
        <v>0</v>
      </c>
      <c r="I228" s="32" t="s">
        <v>59</v>
      </c>
      <c r="J228" s="19">
        <f t="shared" si="16"/>
        <v>1.2578616352201257E-4</v>
      </c>
    </row>
    <row r="229" spans="1:10" x14ac:dyDescent="0.15">
      <c r="A229" s="32" t="s">
        <v>62</v>
      </c>
      <c r="B229" s="32" t="s">
        <v>924</v>
      </c>
      <c r="C229" s="32">
        <v>42</v>
      </c>
      <c r="D229" s="44" t="s">
        <v>47</v>
      </c>
      <c r="E229" s="32" t="s">
        <v>742</v>
      </c>
      <c r="F229" s="5">
        <v>0.17199999999999999</v>
      </c>
      <c r="G229" s="5">
        <v>5.2333333330000002E-2</v>
      </c>
      <c r="H229" s="5">
        <v>30.833333329999999</v>
      </c>
      <c r="I229" s="32" t="s">
        <v>59</v>
      </c>
      <c r="J229" s="19">
        <f t="shared" si="16"/>
        <v>2.6623573988573714E-3</v>
      </c>
    </row>
    <row r="230" spans="1:10" x14ac:dyDescent="0.15">
      <c r="A230" s="32" t="s">
        <v>62</v>
      </c>
      <c r="B230" s="32" t="s">
        <v>924</v>
      </c>
      <c r="C230" s="32">
        <v>42</v>
      </c>
      <c r="D230" s="44" t="s">
        <v>2</v>
      </c>
      <c r="E230" s="32" t="s">
        <v>743</v>
      </c>
      <c r="F230" s="5">
        <v>0.54400000000000004</v>
      </c>
      <c r="G230" s="5">
        <v>0.11899999999999999</v>
      </c>
      <c r="H230" s="5">
        <v>17.5</v>
      </c>
      <c r="I230" s="32" t="s">
        <v>59</v>
      </c>
      <c r="J230" s="19">
        <f t="shared" si="16"/>
        <v>4.1130650167039437E-3</v>
      </c>
    </row>
    <row r="231" spans="1:10" x14ac:dyDescent="0.15">
      <c r="A231" s="32" t="s">
        <v>62</v>
      </c>
      <c r="B231" s="32" t="s">
        <v>924</v>
      </c>
      <c r="C231" s="32">
        <v>42</v>
      </c>
      <c r="D231" s="44" t="s">
        <v>745</v>
      </c>
      <c r="E231" s="32" t="s">
        <v>743</v>
      </c>
      <c r="F231" s="5">
        <v>0.11600000000000001</v>
      </c>
      <c r="G231" s="5">
        <v>0.14499999999999999</v>
      </c>
      <c r="H231" s="5">
        <v>27.5</v>
      </c>
      <c r="I231" s="32" t="s">
        <v>59</v>
      </c>
      <c r="J231" s="19">
        <f t="shared" ref="J231:J242" si="17">F231*COS(RADIANS(H231))/(1060*G231)</f>
        <v>6.6944213824771462E-4</v>
      </c>
    </row>
    <row r="232" spans="1:10" x14ac:dyDescent="0.15">
      <c r="A232" s="32" t="s">
        <v>62</v>
      </c>
      <c r="B232" s="32" t="s">
        <v>924</v>
      </c>
      <c r="C232" s="32">
        <v>42</v>
      </c>
      <c r="D232" s="44" t="s">
        <v>3</v>
      </c>
      <c r="E232" s="32" t="s">
        <v>743</v>
      </c>
      <c r="F232" s="5">
        <v>0.69</v>
      </c>
      <c r="G232" s="5">
        <v>9.6666666669999998E-2</v>
      </c>
      <c r="H232" s="5">
        <v>23.333333329999999</v>
      </c>
      <c r="I232" s="32" t="s">
        <v>59</v>
      </c>
      <c r="J232" s="19">
        <f t="shared" si="17"/>
        <v>6.1831728732086033E-3</v>
      </c>
    </row>
    <row r="233" spans="1:10" x14ac:dyDescent="0.15">
      <c r="A233" s="32" t="s">
        <v>62</v>
      </c>
      <c r="B233" s="32" t="s">
        <v>924</v>
      </c>
      <c r="C233" s="32">
        <v>42</v>
      </c>
      <c r="D233" s="44" t="s">
        <v>362</v>
      </c>
      <c r="E233" s="32" t="s">
        <v>743</v>
      </c>
      <c r="F233" s="5">
        <v>1.6E-2</v>
      </c>
      <c r="G233" s="5">
        <v>3.2000000000000001E-2</v>
      </c>
      <c r="H233" s="5">
        <v>0</v>
      </c>
      <c r="I233" s="32" t="s">
        <v>59</v>
      </c>
      <c r="J233" s="19">
        <f t="shared" si="17"/>
        <v>4.7169811320754717E-4</v>
      </c>
    </row>
    <row r="234" spans="1:10" x14ac:dyDescent="0.15">
      <c r="A234" s="32" t="s">
        <v>62</v>
      </c>
      <c r="B234" s="32" t="s">
        <v>924</v>
      </c>
      <c r="C234" s="32">
        <v>42</v>
      </c>
      <c r="D234" s="44" t="s">
        <v>6</v>
      </c>
      <c r="E234" s="32" t="s">
        <v>743</v>
      </c>
      <c r="F234" s="5">
        <v>0.123</v>
      </c>
      <c r="G234" s="5">
        <v>5.2499999999999998E-2</v>
      </c>
      <c r="H234" s="5">
        <v>33.75</v>
      </c>
      <c r="I234" s="32" t="s">
        <v>59</v>
      </c>
      <c r="J234" s="19">
        <f t="shared" si="17"/>
        <v>1.8377495474072429E-3</v>
      </c>
    </row>
    <row r="235" spans="1:10" x14ac:dyDescent="0.15">
      <c r="A235" s="32" t="s">
        <v>62</v>
      </c>
      <c r="B235" s="32" t="s">
        <v>924</v>
      </c>
      <c r="C235" s="32">
        <v>42</v>
      </c>
      <c r="D235" s="44" t="s">
        <v>747</v>
      </c>
      <c r="E235" s="32" t="s">
        <v>743</v>
      </c>
      <c r="F235" s="5">
        <v>2.3E-2</v>
      </c>
      <c r="G235" s="5">
        <v>4.5400000000000003E-2</v>
      </c>
      <c r="H235" s="5">
        <v>28</v>
      </c>
      <c r="I235" s="32" t="s">
        <v>59</v>
      </c>
      <c r="J235" s="19">
        <f t="shared" si="17"/>
        <v>4.2198891687630539E-4</v>
      </c>
    </row>
    <row r="236" spans="1:10" x14ac:dyDescent="0.15">
      <c r="A236" s="32" t="s">
        <v>62</v>
      </c>
      <c r="B236" s="32" t="s">
        <v>924</v>
      </c>
      <c r="C236" s="32">
        <v>42</v>
      </c>
      <c r="D236" s="44" t="s">
        <v>748</v>
      </c>
      <c r="E236" s="32" t="s">
        <v>743</v>
      </c>
      <c r="F236" s="5">
        <v>0.13700000000000001</v>
      </c>
      <c r="G236" s="5">
        <v>2.92E-2</v>
      </c>
      <c r="H236" s="5">
        <v>20.399999999999999</v>
      </c>
      <c r="I236" s="32" t="s">
        <v>59</v>
      </c>
      <c r="J236" s="19">
        <f t="shared" si="17"/>
        <v>4.1486053424783257E-3</v>
      </c>
    </row>
    <row r="237" spans="1:10" x14ac:dyDescent="0.15">
      <c r="A237" s="32" t="s">
        <v>62</v>
      </c>
      <c r="B237" s="32" t="s">
        <v>924</v>
      </c>
      <c r="C237" s="32">
        <v>42</v>
      </c>
      <c r="D237" s="44" t="s">
        <v>749</v>
      </c>
      <c r="E237" s="32" t="s">
        <v>743</v>
      </c>
      <c r="F237" s="5">
        <v>8.3000000000000004E-2</v>
      </c>
      <c r="G237" s="5">
        <v>3.2599999999999997E-2</v>
      </c>
      <c r="H237" s="5">
        <v>24</v>
      </c>
      <c r="I237" s="32" t="s">
        <v>59</v>
      </c>
      <c r="J237" s="19">
        <f t="shared" si="17"/>
        <v>2.1942433436837562E-3</v>
      </c>
    </row>
    <row r="238" spans="1:10" x14ac:dyDescent="0.15">
      <c r="A238" s="32" t="s">
        <v>62</v>
      </c>
      <c r="B238" s="32" t="s">
        <v>924</v>
      </c>
      <c r="C238" s="32">
        <v>42</v>
      </c>
      <c r="D238" s="44" t="s">
        <v>750</v>
      </c>
      <c r="E238" s="32" t="s">
        <v>743</v>
      </c>
      <c r="F238" s="5">
        <v>0.01</v>
      </c>
      <c r="G238" s="5">
        <v>4.9000000000000002E-2</v>
      </c>
      <c r="H238" s="5">
        <v>5</v>
      </c>
      <c r="I238" s="32" t="s">
        <v>59</v>
      </c>
      <c r="J238" s="19">
        <f t="shared" si="17"/>
        <v>1.9179720794989323E-4</v>
      </c>
    </row>
    <row r="239" spans="1:10" x14ac:dyDescent="0.15">
      <c r="A239" s="32" t="s">
        <v>62</v>
      </c>
      <c r="B239" s="32" t="s">
        <v>924</v>
      </c>
      <c r="C239" s="32">
        <v>42</v>
      </c>
      <c r="D239" s="44" t="s">
        <v>751</v>
      </c>
      <c r="E239" s="32" t="s">
        <v>743</v>
      </c>
      <c r="F239" s="5">
        <v>9.0999999999999998E-2</v>
      </c>
      <c r="G239" s="5">
        <v>5.4286000000000001E-2</v>
      </c>
      <c r="H239" s="5">
        <v>19.2</v>
      </c>
      <c r="I239" s="32" t="s">
        <v>59</v>
      </c>
      <c r="J239" s="19">
        <f t="shared" si="17"/>
        <v>1.4934572535052085E-3</v>
      </c>
    </row>
    <row r="240" spans="1:10" x14ac:dyDescent="0.15">
      <c r="A240" s="32" t="s">
        <v>62</v>
      </c>
      <c r="B240" s="32" t="s">
        <v>924</v>
      </c>
      <c r="C240" s="32">
        <v>42</v>
      </c>
      <c r="D240" s="44" t="s">
        <v>7</v>
      </c>
      <c r="E240" s="32" t="s">
        <v>743</v>
      </c>
      <c r="F240" s="5">
        <v>6.0999999999999999E-2</v>
      </c>
      <c r="G240" s="5">
        <v>3.5999999999999997E-2</v>
      </c>
      <c r="H240" s="5">
        <v>32.5</v>
      </c>
      <c r="I240" s="32" t="s">
        <v>59</v>
      </c>
      <c r="J240" s="19">
        <f t="shared" si="17"/>
        <v>1.3481886319335963E-3</v>
      </c>
    </row>
    <row r="241" spans="1:10" x14ac:dyDescent="0.15">
      <c r="A241" s="32" t="s">
        <v>62</v>
      </c>
      <c r="B241" s="32" t="s">
        <v>924</v>
      </c>
      <c r="C241" s="32">
        <v>42</v>
      </c>
      <c r="D241" s="44" t="s">
        <v>8</v>
      </c>
      <c r="E241" s="32" t="s">
        <v>743</v>
      </c>
      <c r="F241" s="5">
        <v>6.0999999999999999E-2</v>
      </c>
      <c r="G241" s="5">
        <v>4.1666666669999998E-2</v>
      </c>
      <c r="H241" s="5">
        <v>15</v>
      </c>
      <c r="I241" s="32" t="s">
        <v>59</v>
      </c>
      <c r="J241" s="19">
        <f t="shared" si="17"/>
        <v>1.3340711411076102E-3</v>
      </c>
    </row>
    <row r="242" spans="1:10" x14ac:dyDescent="0.15">
      <c r="A242" s="32" t="s">
        <v>62</v>
      </c>
      <c r="B242" s="32" t="s">
        <v>924</v>
      </c>
      <c r="C242" s="32">
        <v>42</v>
      </c>
      <c r="D242" s="44" t="s">
        <v>53</v>
      </c>
      <c r="E242" s="32" t="s">
        <v>743</v>
      </c>
      <c r="F242" s="5">
        <v>0.29799999999999999</v>
      </c>
      <c r="G242" s="5">
        <v>6.7799999999999999E-2</v>
      </c>
      <c r="H242" s="5">
        <v>30</v>
      </c>
      <c r="I242" s="32" t="s">
        <v>59</v>
      </c>
      <c r="J242" s="19">
        <f t="shared" si="17"/>
        <v>3.5909663595447591E-3</v>
      </c>
    </row>
    <row r="243" spans="1:10" x14ac:dyDescent="0.15">
      <c r="A243" s="32" t="s">
        <v>62</v>
      </c>
      <c r="B243" s="32" t="s">
        <v>924</v>
      </c>
      <c r="C243" s="32">
        <v>42</v>
      </c>
      <c r="D243" s="44" t="s">
        <v>9</v>
      </c>
      <c r="E243" s="32" t="s">
        <v>743</v>
      </c>
      <c r="F243" s="5">
        <v>0.55700000000000005</v>
      </c>
      <c r="G243" s="5">
        <v>8.0199999999999994E-2</v>
      </c>
      <c r="H243" s="5">
        <v>20</v>
      </c>
      <c r="I243" s="32" t="s">
        <v>59</v>
      </c>
      <c r="J243" s="19">
        <f t="shared" ref="J243:J259" si="18">F243*COS(RADIANS(H243))/(1060*G243)</f>
        <v>6.1568812612072549E-3</v>
      </c>
    </row>
    <row r="244" spans="1:10" x14ac:dyDescent="0.15">
      <c r="A244" s="27" t="s">
        <v>63</v>
      </c>
      <c r="B244" s="27" t="s">
        <v>924</v>
      </c>
      <c r="C244" s="27">
        <v>0.54500000000000004</v>
      </c>
      <c r="D244" s="28" t="s">
        <v>11</v>
      </c>
      <c r="E244" s="27" t="s">
        <v>742</v>
      </c>
      <c r="F244" s="10">
        <v>2.49E-3</v>
      </c>
      <c r="G244" s="1">
        <v>6.2230000000000001E-2</v>
      </c>
      <c r="H244" s="1">
        <v>0</v>
      </c>
      <c r="I244" s="27" t="s">
        <v>752</v>
      </c>
      <c r="J244" s="19">
        <f t="shared" si="18"/>
        <v>3.7747976920674669E-5</v>
      </c>
    </row>
    <row r="245" spans="1:10" x14ac:dyDescent="0.15">
      <c r="A245" s="27" t="s">
        <v>63</v>
      </c>
      <c r="B245" s="27" t="s">
        <v>924</v>
      </c>
      <c r="C245" s="27">
        <v>0.54500000000000004</v>
      </c>
      <c r="D245" s="28" t="s">
        <v>16</v>
      </c>
      <c r="E245" s="27" t="s">
        <v>742</v>
      </c>
      <c r="F245" s="10">
        <v>5.2099999999999998E-4</v>
      </c>
      <c r="G245" s="1">
        <v>2.8809999999999999E-2</v>
      </c>
      <c r="H245" s="1">
        <v>0</v>
      </c>
      <c r="I245" s="27" t="s">
        <v>752</v>
      </c>
      <c r="J245" s="19">
        <f t="shared" si="18"/>
        <v>1.7060376048672828E-5</v>
      </c>
    </row>
    <row r="246" spans="1:10" x14ac:dyDescent="0.15">
      <c r="A246" s="27" t="s">
        <v>63</v>
      </c>
      <c r="B246" s="27" t="s">
        <v>924</v>
      </c>
      <c r="C246" s="27">
        <v>0.54500000000000004</v>
      </c>
      <c r="D246" s="28" t="s">
        <v>15</v>
      </c>
      <c r="E246" s="27" t="s">
        <v>742</v>
      </c>
      <c r="F246" s="10">
        <v>4.3E-3</v>
      </c>
      <c r="G246" s="1">
        <v>6.5390000000000004E-2</v>
      </c>
      <c r="H246" s="1">
        <v>0</v>
      </c>
      <c r="I246" s="27" t="s">
        <v>752</v>
      </c>
      <c r="J246" s="19">
        <f t="shared" si="18"/>
        <v>6.2037066425828192E-5</v>
      </c>
    </row>
    <row r="247" spans="1:10" x14ac:dyDescent="0.15">
      <c r="A247" s="27" t="s">
        <v>63</v>
      </c>
      <c r="B247" s="27" t="s">
        <v>924</v>
      </c>
      <c r="C247" s="27">
        <v>0.54500000000000004</v>
      </c>
      <c r="D247" s="28" t="s">
        <v>5</v>
      </c>
      <c r="E247" s="27" t="s">
        <v>742</v>
      </c>
      <c r="F247" s="10">
        <v>2.9980000000000002E-4</v>
      </c>
      <c r="G247" s="1">
        <v>2.147E-2</v>
      </c>
      <c r="H247" s="1">
        <v>0</v>
      </c>
      <c r="I247" s="27" t="s">
        <v>752</v>
      </c>
      <c r="J247" s="19">
        <f t="shared" si="18"/>
        <v>1.3173273809000713E-5</v>
      </c>
    </row>
    <row r="248" spans="1:10" x14ac:dyDescent="0.15">
      <c r="A248" s="27" t="s">
        <v>63</v>
      </c>
      <c r="B248" s="27" t="s">
        <v>924</v>
      </c>
      <c r="C248" s="27">
        <v>0.54500000000000004</v>
      </c>
      <c r="D248" s="28" t="s">
        <v>20</v>
      </c>
      <c r="E248" s="27" t="s">
        <v>742</v>
      </c>
      <c r="F248" s="10">
        <v>1.565E-3</v>
      </c>
      <c r="G248" s="1">
        <v>2.8000000000000001E-2</v>
      </c>
      <c r="H248" s="1">
        <v>21</v>
      </c>
      <c r="I248" s="27" t="s">
        <v>752</v>
      </c>
      <c r="J248" s="19">
        <f t="shared" si="18"/>
        <v>4.9226865480731834E-5</v>
      </c>
    </row>
    <row r="249" spans="1:10" x14ac:dyDescent="0.15">
      <c r="A249" s="27" t="s">
        <v>63</v>
      </c>
      <c r="B249" s="27" t="s">
        <v>924</v>
      </c>
      <c r="C249" s="27">
        <v>0.54500000000000004</v>
      </c>
      <c r="D249" s="28" t="s">
        <v>22</v>
      </c>
      <c r="E249" s="27" t="s">
        <v>742</v>
      </c>
      <c r="F249" s="10">
        <v>4.4900000000000002E-4</v>
      </c>
      <c r="G249" s="1">
        <v>1.362E-2</v>
      </c>
      <c r="H249" s="1">
        <v>22.5</v>
      </c>
      <c r="I249" s="27" t="s">
        <v>752</v>
      </c>
      <c r="J249" s="19">
        <f t="shared" si="18"/>
        <v>2.873285055949684E-5</v>
      </c>
    </row>
    <row r="250" spans="1:10" x14ac:dyDescent="0.15">
      <c r="A250" s="27" t="s">
        <v>63</v>
      </c>
      <c r="B250" s="27" t="s">
        <v>924</v>
      </c>
      <c r="C250" s="27">
        <v>0.54500000000000004</v>
      </c>
      <c r="D250" s="28" t="s">
        <v>21</v>
      </c>
      <c r="E250" s="27" t="s">
        <v>742</v>
      </c>
      <c r="F250" s="11">
        <v>2.0895000000000002E-3</v>
      </c>
      <c r="G250" s="1">
        <v>3.1379999999999998E-2</v>
      </c>
      <c r="H250" s="1">
        <v>35.25</v>
      </c>
      <c r="I250" s="27" t="s">
        <v>752</v>
      </c>
      <c r="J250" s="19">
        <f t="shared" si="18"/>
        <v>5.1299726105749614E-5</v>
      </c>
    </row>
    <row r="251" spans="1:10" x14ac:dyDescent="0.15">
      <c r="A251" s="27" t="s">
        <v>63</v>
      </c>
      <c r="B251" s="27" t="s">
        <v>924</v>
      </c>
      <c r="C251" s="27">
        <v>0.54500000000000004</v>
      </c>
      <c r="D251" s="28" t="s">
        <v>4</v>
      </c>
      <c r="E251" s="27" t="s">
        <v>742</v>
      </c>
      <c r="F251" s="10">
        <v>2.1329999999999999E-3</v>
      </c>
      <c r="G251" s="1">
        <v>7.0000000000000007E-2</v>
      </c>
      <c r="H251" s="1">
        <v>0</v>
      </c>
      <c r="I251" s="27" t="s">
        <v>752</v>
      </c>
      <c r="J251" s="19">
        <f t="shared" si="18"/>
        <v>2.8746630727762799E-5</v>
      </c>
    </row>
    <row r="252" spans="1:10" x14ac:dyDescent="0.15">
      <c r="A252" s="27" t="s">
        <v>63</v>
      </c>
      <c r="B252" s="27" t="s">
        <v>924</v>
      </c>
      <c r="C252" s="27">
        <v>0.54500000000000004</v>
      </c>
      <c r="D252" s="28" t="s">
        <v>24</v>
      </c>
      <c r="E252" s="27" t="s">
        <v>742</v>
      </c>
      <c r="F252" s="10">
        <v>2.12E-4</v>
      </c>
      <c r="G252" s="1">
        <v>9.8399999999999998E-3</v>
      </c>
      <c r="H252" s="1">
        <v>0</v>
      </c>
      <c r="I252" s="27" t="s">
        <v>752</v>
      </c>
      <c r="J252" s="19">
        <f t="shared" si="18"/>
        <v>2.032520325203252E-5</v>
      </c>
    </row>
    <row r="253" spans="1:10" x14ac:dyDescent="0.15">
      <c r="A253" s="27" t="s">
        <v>63</v>
      </c>
      <c r="B253" s="27" t="s">
        <v>924</v>
      </c>
      <c r="C253" s="27">
        <v>0.54500000000000004</v>
      </c>
      <c r="D253" s="28" t="s">
        <v>23</v>
      </c>
      <c r="E253" s="27" t="s">
        <v>742</v>
      </c>
      <c r="F253" s="10">
        <v>2.7000000000000001E-3</v>
      </c>
      <c r="G253" s="1">
        <v>1.55E-2</v>
      </c>
      <c r="H253" s="1">
        <v>26.2</v>
      </c>
      <c r="I253" s="27" t="s">
        <v>752</v>
      </c>
      <c r="J253" s="19">
        <f t="shared" si="18"/>
        <v>1.4744964078640822E-4</v>
      </c>
    </row>
    <row r="254" spans="1:10" x14ac:dyDescent="0.15">
      <c r="A254" s="27" t="s">
        <v>63</v>
      </c>
      <c r="B254" s="27" t="s">
        <v>924</v>
      </c>
      <c r="C254" s="27">
        <v>0.54500000000000004</v>
      </c>
      <c r="D254" s="28" t="s">
        <v>26</v>
      </c>
      <c r="E254" s="27" t="s">
        <v>742</v>
      </c>
      <c r="F254" s="10">
        <v>3.2519999999999999E-4</v>
      </c>
      <c r="G254" s="1">
        <v>1.443E-2</v>
      </c>
      <c r="H254" s="1">
        <v>7.75</v>
      </c>
      <c r="I254" s="27" t="s">
        <v>752</v>
      </c>
      <c r="J254" s="19">
        <f t="shared" si="18"/>
        <v>2.1066540477138435E-5</v>
      </c>
    </row>
    <row r="255" spans="1:10" x14ac:dyDescent="0.15">
      <c r="A255" s="27" t="s">
        <v>63</v>
      </c>
      <c r="B255" s="27" t="s">
        <v>924</v>
      </c>
      <c r="C255" s="27">
        <v>0.54500000000000004</v>
      </c>
      <c r="D255" s="28" t="s">
        <v>27</v>
      </c>
      <c r="E255" s="27" t="s">
        <v>742</v>
      </c>
      <c r="F255" s="10">
        <v>6.5900000000000003E-5</v>
      </c>
      <c r="G255" s="1">
        <v>1.0030000000000001E-2</v>
      </c>
      <c r="H255" s="1">
        <v>10.35</v>
      </c>
      <c r="I255" s="27" t="s">
        <v>752</v>
      </c>
      <c r="J255" s="19">
        <f t="shared" si="18"/>
        <v>6.0975297360535765E-6</v>
      </c>
    </row>
    <row r="256" spans="1:10" x14ac:dyDescent="0.15">
      <c r="A256" s="27" t="s">
        <v>63</v>
      </c>
      <c r="B256" s="27" t="s">
        <v>924</v>
      </c>
      <c r="C256" s="27">
        <v>0.54500000000000004</v>
      </c>
      <c r="D256" s="28" t="s">
        <v>32</v>
      </c>
      <c r="E256" s="27" t="s">
        <v>742</v>
      </c>
      <c r="F256" s="10">
        <v>4.5199999999999997E-3</v>
      </c>
      <c r="G256" s="1">
        <v>6.3640000000000002E-2</v>
      </c>
      <c r="H256" s="1">
        <v>0</v>
      </c>
      <c r="I256" s="27" t="s">
        <v>752</v>
      </c>
      <c r="J256" s="19">
        <f t="shared" si="18"/>
        <v>6.7004257438658496E-5</v>
      </c>
    </row>
    <row r="257" spans="1:10" x14ac:dyDescent="0.15">
      <c r="A257" s="27" t="s">
        <v>63</v>
      </c>
      <c r="B257" s="27" t="s">
        <v>924</v>
      </c>
      <c r="C257" s="27">
        <v>0.54500000000000004</v>
      </c>
      <c r="D257" s="28" t="s">
        <v>94</v>
      </c>
      <c r="E257" s="27" t="s">
        <v>742</v>
      </c>
      <c r="F257" s="10">
        <v>8.4400000000000002E-4</v>
      </c>
      <c r="G257" s="1">
        <v>3.2829999999999998E-2</v>
      </c>
      <c r="H257" s="1">
        <v>0</v>
      </c>
      <c r="I257" s="27" t="s">
        <v>752</v>
      </c>
      <c r="J257" s="19">
        <f t="shared" si="18"/>
        <v>2.4253012948350281E-5</v>
      </c>
    </row>
    <row r="258" spans="1:10" x14ac:dyDescent="0.15">
      <c r="A258" s="27" t="s">
        <v>63</v>
      </c>
      <c r="B258" s="27" t="s">
        <v>924</v>
      </c>
      <c r="C258" s="27">
        <v>0.54500000000000004</v>
      </c>
      <c r="D258" s="28" t="s">
        <v>34</v>
      </c>
      <c r="E258" s="27" t="s">
        <v>742</v>
      </c>
      <c r="F258" s="10">
        <v>2.4699999999999999E-4</v>
      </c>
      <c r="G258" s="1">
        <v>3.6659999999999998E-2</v>
      </c>
      <c r="H258" s="1">
        <v>0</v>
      </c>
      <c r="I258" s="27" t="s">
        <v>752</v>
      </c>
      <c r="J258" s="19">
        <f t="shared" si="18"/>
        <v>6.3562157098889335E-6</v>
      </c>
    </row>
    <row r="259" spans="1:10" x14ac:dyDescent="0.15">
      <c r="A259" s="27" t="s">
        <v>63</v>
      </c>
      <c r="B259" s="27" t="s">
        <v>924</v>
      </c>
      <c r="C259" s="27">
        <v>0.54500000000000004</v>
      </c>
      <c r="D259" s="28" t="s">
        <v>36</v>
      </c>
      <c r="E259" s="27" t="s">
        <v>742</v>
      </c>
      <c r="F259" s="10">
        <v>1.5434000000000001E-3</v>
      </c>
      <c r="G259" s="1">
        <v>3.5999999999999997E-2</v>
      </c>
      <c r="H259" s="1">
        <v>0</v>
      </c>
      <c r="I259" s="27" t="s">
        <v>752</v>
      </c>
      <c r="J259" s="19">
        <f t="shared" si="18"/>
        <v>4.0445492662473801E-5</v>
      </c>
    </row>
    <row r="260" spans="1:10" x14ac:dyDescent="0.15">
      <c r="A260" s="27" t="s">
        <v>63</v>
      </c>
      <c r="B260" s="27" t="s">
        <v>924</v>
      </c>
      <c r="C260" s="27">
        <v>0.54500000000000004</v>
      </c>
      <c r="D260" s="28" t="s">
        <v>40</v>
      </c>
      <c r="E260" s="27" t="s">
        <v>742</v>
      </c>
      <c r="F260" s="10">
        <v>3.2400000000000001E-5</v>
      </c>
      <c r="G260" s="1">
        <v>1.47E-2</v>
      </c>
      <c r="H260" s="1">
        <v>0</v>
      </c>
      <c r="I260" s="27" t="s">
        <v>752</v>
      </c>
      <c r="J260" s="19">
        <f t="shared" ref="J260:J278" si="19">F260*COS(RADIANS(H260))/(1060*G260)</f>
        <v>2.0793222949557182E-6</v>
      </c>
    </row>
    <row r="261" spans="1:10" x14ac:dyDescent="0.15">
      <c r="A261" s="27" t="s">
        <v>63</v>
      </c>
      <c r="B261" s="27" t="s">
        <v>924</v>
      </c>
      <c r="C261" s="27">
        <v>0.54500000000000004</v>
      </c>
      <c r="D261" s="28" t="s">
        <v>44</v>
      </c>
      <c r="E261" s="27" t="s">
        <v>742</v>
      </c>
      <c r="F261" s="10">
        <v>6.1879999999999997E-4</v>
      </c>
      <c r="G261" s="1">
        <v>1.1950000000000001E-2</v>
      </c>
      <c r="H261" s="1">
        <v>30</v>
      </c>
      <c r="I261" s="27" t="s">
        <v>752</v>
      </c>
      <c r="J261" s="19">
        <f t="shared" si="19"/>
        <v>4.2306506659967681E-5</v>
      </c>
    </row>
    <row r="262" spans="1:10" x14ac:dyDescent="0.15">
      <c r="A262" s="27" t="s">
        <v>63</v>
      </c>
      <c r="B262" s="27" t="s">
        <v>924</v>
      </c>
      <c r="C262" s="27">
        <v>0.54500000000000004</v>
      </c>
      <c r="D262" s="28" t="s">
        <v>45</v>
      </c>
      <c r="E262" s="27" t="s">
        <v>742</v>
      </c>
      <c r="F262" s="10">
        <v>5.6000000000000006E-4</v>
      </c>
      <c r="G262" s="1">
        <v>1.426E-2</v>
      </c>
      <c r="H262" s="1">
        <v>24.75</v>
      </c>
      <c r="I262" s="27" t="s">
        <v>752</v>
      </c>
      <c r="J262" s="19">
        <f t="shared" si="19"/>
        <v>3.3644723156344809E-5</v>
      </c>
    </row>
    <row r="263" spans="1:10" x14ac:dyDescent="0.15">
      <c r="A263" s="27" t="s">
        <v>63</v>
      </c>
      <c r="B263" s="27" t="s">
        <v>924</v>
      </c>
      <c r="C263" s="27">
        <v>0.54500000000000004</v>
      </c>
      <c r="D263" s="28" t="s">
        <v>47</v>
      </c>
      <c r="E263" s="27" t="s">
        <v>742</v>
      </c>
      <c r="F263" s="10">
        <v>1.0085999999999999E-3</v>
      </c>
      <c r="G263" s="1">
        <v>2.6710000000000001E-2</v>
      </c>
      <c r="H263" s="1">
        <v>0</v>
      </c>
      <c r="I263" s="27" t="s">
        <v>752</v>
      </c>
      <c r="J263" s="19">
        <f t="shared" si="19"/>
        <v>3.5623715236325875E-5</v>
      </c>
    </row>
    <row r="264" spans="1:10" x14ac:dyDescent="0.15">
      <c r="A264" s="27" t="s">
        <v>63</v>
      </c>
      <c r="B264" s="27" t="s">
        <v>924</v>
      </c>
      <c r="C264" s="27">
        <v>0.54500000000000004</v>
      </c>
      <c r="D264" s="28" t="s">
        <v>2</v>
      </c>
      <c r="E264" s="27" t="s">
        <v>743</v>
      </c>
      <c r="F264" s="10">
        <v>2.5495000000000001E-3</v>
      </c>
      <c r="G264" s="1">
        <v>2.4199999999999999E-2</v>
      </c>
      <c r="H264" s="1">
        <v>30</v>
      </c>
      <c r="I264" s="27" t="s">
        <v>752</v>
      </c>
      <c r="J264" s="19">
        <f t="shared" si="19"/>
        <v>8.6072499881039542E-5</v>
      </c>
    </row>
    <row r="265" spans="1:10" x14ac:dyDescent="0.15">
      <c r="A265" s="27" t="s">
        <v>63</v>
      </c>
      <c r="B265" s="27" t="s">
        <v>924</v>
      </c>
      <c r="C265" s="27">
        <v>0.54500000000000004</v>
      </c>
      <c r="D265" s="28" t="s">
        <v>51</v>
      </c>
      <c r="E265" s="27" t="s">
        <v>743</v>
      </c>
      <c r="F265" s="10">
        <v>4.3790000000000002E-4</v>
      </c>
      <c r="G265" s="1">
        <v>3.6179999999999997E-2</v>
      </c>
      <c r="H265" s="1">
        <v>15</v>
      </c>
      <c r="I265" s="27" t="s">
        <v>752</v>
      </c>
      <c r="J265" s="19">
        <f t="shared" si="19"/>
        <v>1.1029207195990253E-5</v>
      </c>
    </row>
    <row r="266" spans="1:10" x14ac:dyDescent="0.15">
      <c r="A266" s="27" t="s">
        <v>63</v>
      </c>
      <c r="B266" s="27" t="s">
        <v>924</v>
      </c>
      <c r="C266" s="27">
        <v>0.54500000000000004</v>
      </c>
      <c r="D266" s="28" t="s">
        <v>3</v>
      </c>
      <c r="E266" s="27" t="s">
        <v>743</v>
      </c>
      <c r="F266" s="10">
        <v>2.2513999999999998E-3</v>
      </c>
      <c r="G266" s="1">
        <v>2.5180000000000001E-2</v>
      </c>
      <c r="H266" s="1">
        <v>20.75</v>
      </c>
      <c r="I266" s="27" t="s">
        <v>752</v>
      </c>
      <c r="J266" s="19">
        <f t="shared" si="19"/>
        <v>7.8879741749482462E-5</v>
      </c>
    </row>
    <row r="267" spans="1:10" x14ac:dyDescent="0.15">
      <c r="A267" s="27" t="s">
        <v>63</v>
      </c>
      <c r="B267" s="27" t="s">
        <v>924</v>
      </c>
      <c r="C267" s="27">
        <v>0.54500000000000004</v>
      </c>
      <c r="D267" s="28" t="s">
        <v>362</v>
      </c>
      <c r="E267" s="27" t="s">
        <v>743</v>
      </c>
      <c r="F267" s="10">
        <v>7.0699999999999997E-5</v>
      </c>
      <c r="G267" s="1">
        <v>9.5999999999999992E-3</v>
      </c>
      <c r="H267" s="1">
        <v>0</v>
      </c>
      <c r="I267" s="27" t="s">
        <v>752</v>
      </c>
      <c r="J267" s="19">
        <f t="shared" si="19"/>
        <v>6.9477201257861648E-6</v>
      </c>
    </row>
    <row r="268" spans="1:10" x14ac:dyDescent="0.15">
      <c r="A268" s="27" t="s">
        <v>63</v>
      </c>
      <c r="B268" s="27" t="s">
        <v>924</v>
      </c>
      <c r="C268" s="27">
        <v>0.54500000000000004</v>
      </c>
      <c r="D268" s="28" t="s">
        <v>6</v>
      </c>
      <c r="E268" s="27" t="s">
        <v>743</v>
      </c>
      <c r="F268" s="10">
        <v>5.6299999999999992E-4</v>
      </c>
      <c r="G268" s="1">
        <v>2.6720000000000001E-2</v>
      </c>
      <c r="H268" s="1">
        <v>25.6</v>
      </c>
      <c r="I268" s="27" t="s">
        <v>752</v>
      </c>
      <c r="J268" s="19">
        <f t="shared" si="19"/>
        <v>1.7926354097209319E-5</v>
      </c>
    </row>
    <row r="269" spans="1:10" x14ac:dyDescent="0.15">
      <c r="A269" s="27" t="s">
        <v>63</v>
      </c>
      <c r="B269" s="27" t="s">
        <v>924</v>
      </c>
      <c r="C269" s="27">
        <v>0.54500000000000004</v>
      </c>
      <c r="D269" s="28" t="s">
        <v>753</v>
      </c>
      <c r="E269" s="27" t="s">
        <v>743</v>
      </c>
      <c r="F269" s="10">
        <v>5.2400000000000005E-4</v>
      </c>
      <c r="G269" s="1">
        <v>2.0379999999999999E-2</v>
      </c>
      <c r="H269" s="1">
        <v>22.4</v>
      </c>
      <c r="I269" s="27" t="s">
        <v>752</v>
      </c>
      <c r="J269" s="19">
        <f t="shared" si="19"/>
        <v>2.2425894866075331E-5</v>
      </c>
    </row>
    <row r="270" spans="1:10" x14ac:dyDescent="0.15">
      <c r="A270" s="27" t="s">
        <v>63</v>
      </c>
      <c r="B270" s="27" t="s">
        <v>924</v>
      </c>
      <c r="C270" s="27">
        <v>0.54500000000000004</v>
      </c>
      <c r="D270" s="28" t="s">
        <v>754</v>
      </c>
      <c r="E270" s="27" t="s">
        <v>743</v>
      </c>
      <c r="F270" s="10">
        <v>3.6899999999999997E-4</v>
      </c>
      <c r="G270" s="1">
        <v>1.9420000000000003E-2</v>
      </c>
      <c r="H270" s="1">
        <v>30</v>
      </c>
      <c r="I270" s="27" t="s">
        <v>752</v>
      </c>
      <c r="J270" s="19">
        <f t="shared" si="19"/>
        <v>1.552393826615519E-5</v>
      </c>
    </row>
    <row r="271" spans="1:10" x14ac:dyDescent="0.15">
      <c r="A271" s="27" t="s">
        <v>63</v>
      </c>
      <c r="B271" s="27" t="s">
        <v>924</v>
      </c>
      <c r="C271" s="27">
        <v>0.54500000000000004</v>
      </c>
      <c r="D271" s="28" t="s">
        <v>755</v>
      </c>
      <c r="E271" s="27" t="s">
        <v>743</v>
      </c>
      <c r="F271" s="10">
        <v>2.6400000000000002E-4</v>
      </c>
      <c r="G271" s="1">
        <v>1.6190000000000003E-2</v>
      </c>
      <c r="H271" s="1">
        <v>30</v>
      </c>
      <c r="I271" s="27" t="s">
        <v>752</v>
      </c>
      <c r="J271" s="19">
        <f t="shared" si="19"/>
        <v>1.332238084300184E-5</v>
      </c>
    </row>
    <row r="272" spans="1:10" x14ac:dyDescent="0.15">
      <c r="A272" s="27" t="s">
        <v>63</v>
      </c>
      <c r="B272" s="27" t="s">
        <v>924</v>
      </c>
      <c r="C272" s="27">
        <v>0.54500000000000004</v>
      </c>
      <c r="D272" s="28" t="s">
        <v>756</v>
      </c>
      <c r="E272" s="27" t="s">
        <v>743</v>
      </c>
      <c r="F272" s="10">
        <v>2.14E-4</v>
      </c>
      <c r="G272" s="1">
        <v>1.6969999999999999E-2</v>
      </c>
      <c r="H272" s="1">
        <v>22</v>
      </c>
      <c r="I272" s="27" t="s">
        <v>752</v>
      </c>
      <c r="J272" s="19">
        <f t="shared" si="19"/>
        <v>1.1030416877580442E-5</v>
      </c>
    </row>
    <row r="273" spans="1:10" x14ac:dyDescent="0.15">
      <c r="A273" s="27" t="s">
        <v>63</v>
      </c>
      <c r="B273" s="27" t="s">
        <v>924</v>
      </c>
      <c r="C273" s="27">
        <v>0.54500000000000004</v>
      </c>
      <c r="D273" s="28" t="s">
        <v>757</v>
      </c>
      <c r="E273" s="27" t="s">
        <v>743</v>
      </c>
      <c r="F273" s="10">
        <v>2.63E-4</v>
      </c>
      <c r="G273" s="1">
        <v>1.9190000000000002E-2</v>
      </c>
      <c r="H273" s="1">
        <v>25</v>
      </c>
      <c r="I273" s="27" t="s">
        <v>752</v>
      </c>
      <c r="J273" s="19">
        <f t="shared" si="19"/>
        <v>1.1717922463087048E-5</v>
      </c>
    </row>
    <row r="274" spans="1:10" x14ac:dyDescent="0.15">
      <c r="A274" s="27" t="s">
        <v>63</v>
      </c>
      <c r="B274" s="27" t="s">
        <v>924</v>
      </c>
      <c r="C274" s="27">
        <v>0.54500000000000004</v>
      </c>
      <c r="D274" s="28" t="s">
        <v>7</v>
      </c>
      <c r="E274" s="27" t="s">
        <v>743</v>
      </c>
      <c r="F274" s="10">
        <v>3.0400000000000002E-4</v>
      </c>
      <c r="G274" s="1">
        <v>1.6789999999999999E-2</v>
      </c>
      <c r="H274" s="1">
        <v>27</v>
      </c>
      <c r="I274" s="27" t="s">
        <v>752</v>
      </c>
      <c r="J274" s="19">
        <f t="shared" si="19"/>
        <v>1.5219413136371821E-5</v>
      </c>
    </row>
    <row r="275" spans="1:10" x14ac:dyDescent="0.15">
      <c r="A275" s="27" t="s">
        <v>63</v>
      </c>
      <c r="B275" s="27" t="s">
        <v>924</v>
      </c>
      <c r="C275" s="27">
        <v>0.54500000000000004</v>
      </c>
      <c r="D275" s="28" t="s">
        <v>8</v>
      </c>
      <c r="E275" s="27" t="s">
        <v>743</v>
      </c>
      <c r="F275" s="10">
        <v>2.9470000000000001E-4</v>
      </c>
      <c r="G275" s="1">
        <v>1.779E-2</v>
      </c>
      <c r="H275" s="1">
        <v>5</v>
      </c>
      <c r="I275" s="27" t="s">
        <v>752</v>
      </c>
      <c r="J275" s="19">
        <f t="shared" si="19"/>
        <v>1.5568348633832734E-5</v>
      </c>
    </row>
    <row r="276" spans="1:10" x14ac:dyDescent="0.15">
      <c r="A276" s="27" t="s">
        <v>63</v>
      </c>
      <c r="B276" s="27" t="s">
        <v>924</v>
      </c>
      <c r="C276" s="27">
        <v>0.54500000000000004</v>
      </c>
      <c r="D276" s="28" t="s">
        <v>55</v>
      </c>
      <c r="E276" s="27" t="s">
        <v>743</v>
      </c>
      <c r="F276" s="10">
        <v>5.1859999999999992E-4</v>
      </c>
      <c r="G276" s="1">
        <v>1.559E-2</v>
      </c>
      <c r="H276" s="1">
        <v>24.75</v>
      </c>
      <c r="I276" s="27" t="s">
        <v>752</v>
      </c>
      <c r="J276" s="19">
        <f t="shared" si="19"/>
        <v>2.8499343431668039E-5</v>
      </c>
    </row>
    <row r="277" spans="1:10" x14ac:dyDescent="0.15">
      <c r="A277" s="27" t="s">
        <v>63</v>
      </c>
      <c r="B277" s="27" t="s">
        <v>924</v>
      </c>
      <c r="C277" s="27">
        <v>0.54500000000000004</v>
      </c>
      <c r="D277" s="28" t="s">
        <v>56</v>
      </c>
      <c r="E277" s="27" t="s">
        <v>743</v>
      </c>
      <c r="F277" s="10">
        <v>9.7930000000000001E-4</v>
      </c>
      <c r="G277" s="1">
        <v>3.0630000000000001E-2</v>
      </c>
      <c r="H277" s="1">
        <v>18.5</v>
      </c>
      <c r="I277" s="27" t="s">
        <v>752</v>
      </c>
      <c r="J277" s="19">
        <f t="shared" si="19"/>
        <v>2.8603519657735693E-5</v>
      </c>
    </row>
    <row r="278" spans="1:10" x14ac:dyDescent="0.15">
      <c r="A278" s="27" t="s">
        <v>63</v>
      </c>
      <c r="B278" s="27" t="s">
        <v>924</v>
      </c>
      <c r="C278" s="27">
        <v>0.54500000000000004</v>
      </c>
      <c r="D278" s="28" t="s">
        <v>9</v>
      </c>
      <c r="E278" s="27" t="s">
        <v>743</v>
      </c>
      <c r="F278" s="10">
        <v>2.3144999999999997E-3</v>
      </c>
      <c r="G278" s="1">
        <v>2.707E-2</v>
      </c>
      <c r="H278" s="1">
        <v>25.4</v>
      </c>
      <c r="I278" s="27" t="s">
        <v>752</v>
      </c>
      <c r="J278" s="19">
        <f t="shared" si="19"/>
        <v>7.2863837825487722E-5</v>
      </c>
    </row>
    <row r="279" spans="1:10" x14ac:dyDescent="0.15">
      <c r="A279" s="31" t="s">
        <v>72</v>
      </c>
      <c r="B279" s="31" t="s">
        <v>924</v>
      </c>
      <c r="C279" s="31">
        <v>2.0790000000000002</v>
      </c>
      <c r="D279" s="43" t="s">
        <v>11</v>
      </c>
      <c r="E279" s="31" t="s">
        <v>742</v>
      </c>
      <c r="F279" s="2">
        <v>5.8099999999999992E-3</v>
      </c>
      <c r="G279" s="2">
        <v>9.6772000000000011E-2</v>
      </c>
      <c r="H279" s="2">
        <v>0</v>
      </c>
      <c r="I279" s="31" t="s">
        <v>61</v>
      </c>
      <c r="J279" s="19">
        <f t="shared" ref="J279:J303" si="20">F279*COS(RADIANS(H279))/(1060*G279)</f>
        <v>5.6639648611909405E-5</v>
      </c>
    </row>
    <row r="280" spans="1:10" x14ac:dyDescent="0.15">
      <c r="A280" s="31" t="s">
        <v>72</v>
      </c>
      <c r="B280" s="31" t="s">
        <v>924</v>
      </c>
      <c r="C280" s="31">
        <v>2.0790000000000002</v>
      </c>
      <c r="D280" s="43" t="s">
        <v>16</v>
      </c>
      <c r="E280" s="31" t="s">
        <v>742</v>
      </c>
      <c r="F280" s="2">
        <v>5.4980000000000003E-3</v>
      </c>
      <c r="G280" s="2">
        <v>4.1723999999999997E-2</v>
      </c>
      <c r="H280" s="2">
        <v>0</v>
      </c>
      <c r="I280" s="31" t="s">
        <v>61</v>
      </c>
      <c r="J280" s="19">
        <f t="shared" si="20"/>
        <v>1.2431196560325447E-4</v>
      </c>
    </row>
    <row r="281" spans="1:10" x14ac:dyDescent="0.15">
      <c r="A281" s="31" t="s">
        <v>72</v>
      </c>
      <c r="B281" s="31" t="s">
        <v>924</v>
      </c>
      <c r="C281" s="31">
        <v>2.0790000000000002</v>
      </c>
      <c r="D281" s="43" t="s">
        <v>15</v>
      </c>
      <c r="E281" s="31" t="s">
        <v>742</v>
      </c>
      <c r="F281" s="2">
        <v>1.7344999999999999E-2</v>
      </c>
      <c r="G281" s="2">
        <v>0.12232599999999999</v>
      </c>
      <c r="H281" s="2">
        <v>0</v>
      </c>
      <c r="I281" s="31" t="s">
        <v>61</v>
      </c>
      <c r="J281" s="19">
        <f t="shared" si="20"/>
        <v>1.3376720850162525E-4</v>
      </c>
    </row>
    <row r="282" spans="1:10" x14ac:dyDescent="0.15">
      <c r="A282" s="31" t="s">
        <v>72</v>
      </c>
      <c r="B282" s="31" t="s">
        <v>924</v>
      </c>
      <c r="C282" s="31">
        <v>2.0790000000000002</v>
      </c>
      <c r="D282" s="43" t="s">
        <v>5</v>
      </c>
      <c r="E282" s="31" t="s">
        <v>742</v>
      </c>
      <c r="F282" s="2">
        <v>7.45E-4</v>
      </c>
      <c r="G282" s="2">
        <v>1.5632E-2</v>
      </c>
      <c r="H282" s="2">
        <v>9.4</v>
      </c>
      <c r="I282" s="31" t="s">
        <v>61</v>
      </c>
      <c r="J282" s="19">
        <f t="shared" si="20"/>
        <v>4.4357260650455296E-5</v>
      </c>
    </row>
    <row r="283" spans="1:10" x14ac:dyDescent="0.15">
      <c r="A283" s="31" t="s">
        <v>72</v>
      </c>
      <c r="B283" s="31" t="s">
        <v>924</v>
      </c>
      <c r="C283" s="31">
        <v>2.0790000000000002</v>
      </c>
      <c r="D283" s="43" t="s">
        <v>20</v>
      </c>
      <c r="E283" s="31" t="s">
        <v>742</v>
      </c>
      <c r="F283" s="2">
        <v>2.4429999999999999E-3</v>
      </c>
      <c r="G283" s="2">
        <v>2.5346E-2</v>
      </c>
      <c r="H283" s="2">
        <v>16.399999999999999</v>
      </c>
      <c r="I283" s="31" t="s">
        <v>61</v>
      </c>
      <c r="J283" s="19">
        <f t="shared" si="20"/>
        <v>8.7230616561184178E-5</v>
      </c>
    </row>
    <row r="284" spans="1:10" x14ac:dyDescent="0.15">
      <c r="A284" s="31" t="s">
        <v>72</v>
      </c>
      <c r="B284" s="31" t="s">
        <v>924</v>
      </c>
      <c r="C284" s="31">
        <v>2.0790000000000002</v>
      </c>
      <c r="D284" s="43" t="s">
        <v>22</v>
      </c>
      <c r="E284" s="31" t="s">
        <v>742</v>
      </c>
      <c r="F284" s="2">
        <v>2.758E-3</v>
      </c>
      <c r="G284" s="2">
        <v>2.4338000000000002E-2</v>
      </c>
      <c r="H284" s="2">
        <v>29.2</v>
      </c>
      <c r="I284" s="31" t="s">
        <v>61</v>
      </c>
      <c r="J284" s="19">
        <f t="shared" si="20"/>
        <v>9.3320914770679854E-5</v>
      </c>
    </row>
    <row r="285" spans="1:10" x14ac:dyDescent="0.15">
      <c r="A285" s="31" t="s">
        <v>72</v>
      </c>
      <c r="B285" s="31" t="s">
        <v>924</v>
      </c>
      <c r="C285" s="31">
        <v>2.0790000000000002</v>
      </c>
      <c r="D285" s="43" t="s">
        <v>21</v>
      </c>
      <c r="E285" s="31" t="s">
        <v>742</v>
      </c>
      <c r="F285" s="2">
        <v>1.2218E-2</v>
      </c>
      <c r="G285" s="2">
        <v>2.5488E-2</v>
      </c>
      <c r="H285" s="2">
        <v>25.2</v>
      </c>
      <c r="I285" s="31" t="s">
        <v>61</v>
      </c>
      <c r="J285" s="19">
        <f t="shared" si="20"/>
        <v>4.0918911626299268E-4</v>
      </c>
    </row>
    <row r="286" spans="1:10" x14ac:dyDescent="0.15">
      <c r="A286" s="31" t="s">
        <v>72</v>
      </c>
      <c r="B286" s="31" t="s">
        <v>924</v>
      </c>
      <c r="C286" s="31">
        <v>2.0790000000000002</v>
      </c>
      <c r="D286" s="43" t="s">
        <v>4</v>
      </c>
      <c r="E286" s="31" t="s">
        <v>742</v>
      </c>
      <c r="F286" s="2">
        <v>8.8829999999999985E-3</v>
      </c>
      <c r="G286" s="2">
        <v>7.6135999999999995E-2</v>
      </c>
      <c r="H286" s="2">
        <v>0</v>
      </c>
      <c r="I286" s="31" t="s">
        <v>61</v>
      </c>
      <c r="J286" s="19">
        <f t="shared" si="20"/>
        <v>1.1006867551808975E-4</v>
      </c>
    </row>
    <row r="287" spans="1:10" x14ac:dyDescent="0.15">
      <c r="A287" s="31" t="s">
        <v>72</v>
      </c>
      <c r="B287" s="31" t="s">
        <v>924</v>
      </c>
      <c r="C287" s="31">
        <v>2.0790000000000002</v>
      </c>
      <c r="D287" s="43" t="s">
        <v>23</v>
      </c>
      <c r="E287" s="31" t="s">
        <v>742</v>
      </c>
      <c r="F287" s="2">
        <v>9.0060000000000001E-3</v>
      </c>
      <c r="G287" s="2">
        <v>2.2508E-2</v>
      </c>
      <c r="H287" s="2">
        <v>24.4</v>
      </c>
      <c r="I287" s="31" t="s">
        <v>61</v>
      </c>
      <c r="J287" s="19">
        <f t="shared" si="20"/>
        <v>3.4376108826800498E-4</v>
      </c>
    </row>
    <row r="288" spans="1:10" x14ac:dyDescent="0.15">
      <c r="A288" s="31" t="s">
        <v>72</v>
      </c>
      <c r="B288" s="31" t="s">
        <v>924</v>
      </c>
      <c r="C288" s="31">
        <v>2.0790000000000002</v>
      </c>
      <c r="D288" s="43" t="s">
        <v>24</v>
      </c>
      <c r="E288" s="31" t="s">
        <v>742</v>
      </c>
      <c r="F288" s="2">
        <v>4.75E-4</v>
      </c>
      <c r="G288" s="2">
        <v>1.4366E-2</v>
      </c>
      <c r="H288" s="2">
        <v>0</v>
      </c>
      <c r="I288" s="31" t="s">
        <v>61</v>
      </c>
      <c r="J288" s="19">
        <f t="shared" si="20"/>
        <v>3.1192621992702896E-5</v>
      </c>
    </row>
    <row r="289" spans="1:10" x14ac:dyDescent="0.15">
      <c r="A289" s="31" t="s">
        <v>72</v>
      </c>
      <c r="B289" s="31" t="s">
        <v>924</v>
      </c>
      <c r="C289" s="31">
        <v>2.0790000000000002</v>
      </c>
      <c r="D289" s="43" t="s">
        <v>26</v>
      </c>
      <c r="E289" s="31" t="s">
        <v>742</v>
      </c>
      <c r="F289" s="2">
        <v>1.4630000000000001E-3</v>
      </c>
      <c r="G289" s="2">
        <v>2.6694715339999998E-2</v>
      </c>
      <c r="H289" s="2">
        <v>22.6</v>
      </c>
      <c r="I289" s="31" t="s">
        <v>61</v>
      </c>
      <c r="J289" s="19">
        <f t="shared" si="20"/>
        <v>4.7732454682280057E-5</v>
      </c>
    </row>
    <row r="290" spans="1:10" x14ac:dyDescent="0.15">
      <c r="A290" s="31" t="s">
        <v>72</v>
      </c>
      <c r="B290" s="31" t="s">
        <v>924</v>
      </c>
      <c r="C290" s="31">
        <v>2.0790000000000002</v>
      </c>
      <c r="D290" s="43" t="s">
        <v>27</v>
      </c>
      <c r="E290" s="31" t="s">
        <v>742</v>
      </c>
      <c r="F290" s="2">
        <v>2.05E-4</v>
      </c>
      <c r="G290" s="2">
        <v>1.4496E-2</v>
      </c>
      <c r="H290" s="2">
        <v>0</v>
      </c>
      <c r="I290" s="31" t="s">
        <v>61</v>
      </c>
      <c r="J290" s="19">
        <f t="shared" si="20"/>
        <v>1.3341351159981674E-5</v>
      </c>
    </row>
    <row r="291" spans="1:10" x14ac:dyDescent="0.15">
      <c r="A291" s="31" t="s">
        <v>72</v>
      </c>
      <c r="B291" s="31" t="s">
        <v>924</v>
      </c>
      <c r="C291" s="31">
        <v>2.0790000000000002</v>
      </c>
      <c r="D291" s="43" t="s">
        <v>30</v>
      </c>
      <c r="E291" s="31" t="s">
        <v>742</v>
      </c>
      <c r="F291" s="2">
        <v>2.02E-4</v>
      </c>
      <c r="G291" s="2">
        <v>1.8731999999999999E-2</v>
      </c>
      <c r="H291" s="2">
        <v>0</v>
      </c>
      <c r="I291" s="31" t="s">
        <v>61</v>
      </c>
      <c r="J291" s="19">
        <f t="shared" si="20"/>
        <v>1.0173288369413254E-5</v>
      </c>
    </row>
    <row r="292" spans="1:10" x14ac:dyDescent="0.15">
      <c r="A292" s="31" t="s">
        <v>72</v>
      </c>
      <c r="B292" s="31" t="s">
        <v>924</v>
      </c>
      <c r="C292" s="31">
        <v>2.0790000000000002</v>
      </c>
      <c r="D292" s="43" t="s">
        <v>32</v>
      </c>
      <c r="E292" s="31" t="s">
        <v>742</v>
      </c>
      <c r="F292" s="2">
        <v>9.3629999999999998E-3</v>
      </c>
      <c r="G292" s="2">
        <v>9.5778000000000002E-2</v>
      </c>
      <c r="H292" s="2">
        <v>0</v>
      </c>
      <c r="I292" s="31" t="s">
        <v>61</v>
      </c>
      <c r="J292" s="19">
        <f t="shared" si="20"/>
        <v>9.2223880932202878E-5</v>
      </c>
    </row>
    <row r="293" spans="1:10" x14ac:dyDescent="0.15">
      <c r="A293" s="31" t="s">
        <v>72</v>
      </c>
      <c r="B293" s="31" t="s">
        <v>924</v>
      </c>
      <c r="C293" s="31">
        <v>2.0790000000000002</v>
      </c>
      <c r="D293" s="43" t="s">
        <v>94</v>
      </c>
      <c r="E293" s="31" t="s">
        <v>742</v>
      </c>
      <c r="F293" s="2">
        <v>2.4979999999999998E-3</v>
      </c>
      <c r="G293" s="2">
        <v>2.8434000000000001E-2</v>
      </c>
      <c r="H293" s="2">
        <v>0</v>
      </c>
      <c r="I293" s="31" t="s">
        <v>61</v>
      </c>
      <c r="J293" s="19">
        <f t="shared" si="20"/>
        <v>8.2879783835721499E-5</v>
      </c>
    </row>
    <row r="294" spans="1:10" x14ac:dyDescent="0.15">
      <c r="A294" s="31" t="s">
        <v>72</v>
      </c>
      <c r="B294" s="31" t="s">
        <v>924</v>
      </c>
      <c r="C294" s="31">
        <v>2.0790000000000002</v>
      </c>
      <c r="D294" s="43" t="s">
        <v>34</v>
      </c>
      <c r="E294" s="31" t="s">
        <v>742</v>
      </c>
      <c r="F294" s="2">
        <v>2.3039999999999996E-3</v>
      </c>
      <c r="G294" s="2">
        <v>5.6158E-2</v>
      </c>
      <c r="H294" s="2">
        <v>0</v>
      </c>
      <c r="I294" s="31" t="s">
        <v>61</v>
      </c>
      <c r="J294" s="19">
        <f t="shared" si="20"/>
        <v>3.8704813306392273E-5</v>
      </c>
    </row>
    <row r="295" spans="1:10" x14ac:dyDescent="0.15">
      <c r="A295" s="31" t="s">
        <v>72</v>
      </c>
      <c r="B295" s="31" t="s">
        <v>924</v>
      </c>
      <c r="C295" s="31">
        <v>2.0790000000000002</v>
      </c>
      <c r="D295" s="43" t="s">
        <v>39</v>
      </c>
      <c r="E295" s="31" t="s">
        <v>742</v>
      </c>
      <c r="F295" s="2">
        <v>2.1979999999999999E-3</v>
      </c>
      <c r="G295" s="2">
        <v>5.8485999999999996E-2</v>
      </c>
      <c r="H295" s="2">
        <v>0</v>
      </c>
      <c r="I295" s="31" t="s">
        <v>61</v>
      </c>
      <c r="J295" s="19">
        <f t="shared" si="20"/>
        <v>3.5454380632294519E-5</v>
      </c>
    </row>
    <row r="296" spans="1:10" x14ac:dyDescent="0.15">
      <c r="A296" s="31" t="s">
        <v>72</v>
      </c>
      <c r="B296" s="31" t="s">
        <v>924</v>
      </c>
      <c r="C296" s="31">
        <v>2.0790000000000002</v>
      </c>
      <c r="D296" s="43" t="s">
        <v>36</v>
      </c>
      <c r="E296" s="31" t="s">
        <v>742</v>
      </c>
      <c r="F296" s="2">
        <v>4.5690000000000001E-3</v>
      </c>
      <c r="G296" s="2">
        <v>5.0076000000000002E-2</v>
      </c>
      <c r="H296" s="2">
        <v>22.2</v>
      </c>
      <c r="I296" s="31" t="s">
        <v>61</v>
      </c>
      <c r="J296" s="19">
        <f t="shared" si="20"/>
        <v>7.9695894353730738E-5</v>
      </c>
    </row>
    <row r="297" spans="1:10" x14ac:dyDescent="0.15">
      <c r="A297" s="31" t="s">
        <v>72</v>
      </c>
      <c r="B297" s="31" t="s">
        <v>924</v>
      </c>
      <c r="C297" s="31">
        <v>2.0790000000000002</v>
      </c>
      <c r="D297" s="43" t="s">
        <v>44</v>
      </c>
      <c r="E297" s="31" t="s">
        <v>742</v>
      </c>
      <c r="F297" s="2">
        <v>3.8790000000000001E-3</v>
      </c>
      <c r="G297" s="2">
        <v>1.6497499999999998E-2</v>
      </c>
      <c r="H297" s="2">
        <v>20.8</v>
      </c>
      <c r="I297" s="31" t="s">
        <v>61</v>
      </c>
      <c r="J297" s="19">
        <f t="shared" si="20"/>
        <v>2.0736068064859114E-4</v>
      </c>
    </row>
    <row r="298" spans="1:10" x14ac:dyDescent="0.15">
      <c r="A298" s="31" t="s">
        <v>72</v>
      </c>
      <c r="B298" s="31" t="s">
        <v>924</v>
      </c>
      <c r="C298" s="31">
        <v>2.0790000000000002</v>
      </c>
      <c r="D298" s="43" t="s">
        <v>45</v>
      </c>
      <c r="E298" s="31" t="s">
        <v>742</v>
      </c>
      <c r="F298" s="2">
        <v>1.9059999999999999E-3</v>
      </c>
      <c r="G298" s="2">
        <v>1.4118E-2</v>
      </c>
      <c r="H298" s="2">
        <v>26.6</v>
      </c>
      <c r="I298" s="31" t="s">
        <v>61</v>
      </c>
      <c r="J298" s="19">
        <f t="shared" si="20"/>
        <v>1.1388231639362005E-4</v>
      </c>
    </row>
    <row r="299" spans="1:10" x14ac:dyDescent="0.15">
      <c r="A299" s="31" t="s">
        <v>72</v>
      </c>
      <c r="B299" s="31" t="s">
        <v>924</v>
      </c>
      <c r="C299" s="31">
        <v>2.0790000000000002</v>
      </c>
      <c r="D299" s="43" t="s">
        <v>50</v>
      </c>
      <c r="E299" s="31" t="s">
        <v>742</v>
      </c>
      <c r="F299" s="2">
        <v>6.9099999999999999E-4</v>
      </c>
      <c r="G299" s="2">
        <v>9.0279999999999999E-2</v>
      </c>
      <c r="H299" s="2">
        <v>0</v>
      </c>
      <c r="I299" s="31" t="s">
        <v>61</v>
      </c>
      <c r="J299" s="19">
        <f t="shared" si="20"/>
        <v>7.2207221140100819E-6</v>
      </c>
    </row>
    <row r="300" spans="1:10" x14ac:dyDescent="0.15">
      <c r="A300" s="31" t="s">
        <v>72</v>
      </c>
      <c r="B300" s="31" t="s">
        <v>924</v>
      </c>
      <c r="C300" s="31">
        <v>2.0790000000000002</v>
      </c>
      <c r="D300" s="43" t="s">
        <v>47</v>
      </c>
      <c r="E300" s="31" t="s">
        <v>742</v>
      </c>
      <c r="F300" s="2">
        <v>1.173E-3</v>
      </c>
      <c r="G300" s="2">
        <v>3.9539999999999999E-2</v>
      </c>
      <c r="H300" s="2">
        <v>0</v>
      </c>
      <c r="I300" s="31" t="s">
        <v>61</v>
      </c>
      <c r="J300" s="19">
        <f t="shared" si="20"/>
        <v>2.7986944197898476E-5</v>
      </c>
    </row>
    <row r="301" spans="1:10" x14ac:dyDescent="0.15">
      <c r="A301" s="31" t="s">
        <v>72</v>
      </c>
      <c r="B301" s="31" t="s">
        <v>924</v>
      </c>
      <c r="C301" s="31">
        <v>2.0790000000000002</v>
      </c>
      <c r="D301" s="43" t="s">
        <v>2</v>
      </c>
      <c r="E301" s="31" t="s">
        <v>743</v>
      </c>
      <c r="F301" s="2">
        <v>9.247E-3</v>
      </c>
      <c r="G301" s="2">
        <v>2.8902000000000001E-2</v>
      </c>
      <c r="H301" s="2">
        <v>28.8</v>
      </c>
      <c r="I301" s="31" t="s">
        <v>61</v>
      </c>
      <c r="J301" s="19">
        <f t="shared" si="20"/>
        <v>2.6449850275967081E-4</v>
      </c>
    </row>
    <row r="302" spans="1:10" x14ac:dyDescent="0.15">
      <c r="A302" s="31" t="s">
        <v>72</v>
      </c>
      <c r="B302" s="31" t="s">
        <v>924</v>
      </c>
      <c r="C302" s="31">
        <v>2.0790000000000002</v>
      </c>
      <c r="D302" s="43" t="s">
        <v>51</v>
      </c>
      <c r="E302" s="31" t="s">
        <v>743</v>
      </c>
      <c r="F302" s="2">
        <v>1.9780000000000002E-3</v>
      </c>
      <c r="G302" s="2">
        <v>3.5954E-2</v>
      </c>
      <c r="H302" s="2">
        <v>21.6</v>
      </c>
      <c r="I302" s="31" t="s">
        <v>61</v>
      </c>
      <c r="J302" s="19">
        <f t="shared" si="20"/>
        <v>4.8256049634883599E-5</v>
      </c>
    </row>
    <row r="303" spans="1:10" x14ac:dyDescent="0.15">
      <c r="A303" s="31" t="s">
        <v>72</v>
      </c>
      <c r="B303" s="31" t="s">
        <v>924</v>
      </c>
      <c r="C303" s="31">
        <v>2.0790000000000002</v>
      </c>
      <c r="D303" s="43" t="s">
        <v>3</v>
      </c>
      <c r="E303" s="31" t="s">
        <v>743</v>
      </c>
      <c r="F303" s="2">
        <v>1.4785999999999999E-2</v>
      </c>
      <c r="G303" s="2">
        <v>3.9213999999999999E-2</v>
      </c>
      <c r="H303" s="2">
        <v>26</v>
      </c>
      <c r="I303" s="31" t="s">
        <v>61</v>
      </c>
      <c r="J303" s="19">
        <f t="shared" si="20"/>
        <v>3.1971563795995758E-4</v>
      </c>
    </row>
    <row r="304" spans="1:10" x14ac:dyDescent="0.15">
      <c r="A304" s="31" t="s">
        <v>72</v>
      </c>
      <c r="B304" s="31" t="s">
        <v>924</v>
      </c>
      <c r="C304" s="31">
        <v>2.0790000000000002</v>
      </c>
      <c r="D304" s="43" t="s">
        <v>362</v>
      </c>
      <c r="E304" s="31" t="s">
        <v>743</v>
      </c>
      <c r="F304" s="2">
        <v>5.1E-5</v>
      </c>
      <c r="G304" s="2">
        <v>1.095E-2</v>
      </c>
      <c r="H304" s="2">
        <v>0</v>
      </c>
      <c r="I304" s="31" t="s">
        <v>61</v>
      </c>
      <c r="J304" s="19">
        <f t="shared" ref="J304:J314" si="21">F304*COS(RADIANS(H304))/(1060*G304)</f>
        <v>4.3939002326182481E-6</v>
      </c>
    </row>
    <row r="305" spans="1:10" x14ac:dyDescent="0.15">
      <c r="A305" s="31" t="s">
        <v>72</v>
      </c>
      <c r="B305" s="31" t="s">
        <v>924</v>
      </c>
      <c r="C305" s="31">
        <v>2.0790000000000002</v>
      </c>
      <c r="D305" s="43" t="s">
        <v>6</v>
      </c>
      <c r="E305" s="31" t="s">
        <v>743</v>
      </c>
      <c r="F305" s="2">
        <v>3.4719999999999998E-3</v>
      </c>
      <c r="G305" s="2">
        <v>2.1361999999999999E-2</v>
      </c>
      <c r="H305" s="2">
        <v>26</v>
      </c>
      <c r="I305" s="31" t="s">
        <v>61</v>
      </c>
      <c r="J305" s="19">
        <f t="shared" si="21"/>
        <v>1.3781361581713199E-4</v>
      </c>
    </row>
    <row r="306" spans="1:10" x14ac:dyDescent="0.15">
      <c r="A306" s="31" t="s">
        <v>72</v>
      </c>
      <c r="B306" s="31" t="s">
        <v>924</v>
      </c>
      <c r="C306" s="31">
        <v>2.0790000000000002</v>
      </c>
      <c r="D306" s="43" t="s">
        <v>368</v>
      </c>
      <c r="E306" s="31" t="s">
        <v>743</v>
      </c>
      <c r="F306" s="2">
        <v>8.0000000000000004E-4</v>
      </c>
      <c r="G306" s="2">
        <v>2.0223999999999999E-2</v>
      </c>
      <c r="H306" s="2">
        <v>21.2</v>
      </c>
      <c r="I306" s="31" t="s">
        <v>61</v>
      </c>
      <c r="J306" s="19">
        <f t="shared" si="21"/>
        <v>3.4792355849038402E-5</v>
      </c>
    </row>
    <row r="307" spans="1:10" x14ac:dyDescent="0.15">
      <c r="A307" s="31" t="s">
        <v>72</v>
      </c>
      <c r="B307" s="31" t="s">
        <v>924</v>
      </c>
      <c r="C307" s="31">
        <v>2.0790000000000002</v>
      </c>
      <c r="D307" s="43" t="s">
        <v>758</v>
      </c>
      <c r="E307" s="31" t="s">
        <v>743</v>
      </c>
      <c r="F307" s="2">
        <v>4.7199999999999998E-4</v>
      </c>
      <c r="G307" s="2">
        <v>1.9806000000000001E-2</v>
      </c>
      <c r="H307" s="2">
        <v>22.2</v>
      </c>
      <c r="I307" s="31" t="s">
        <v>61</v>
      </c>
      <c r="J307" s="19">
        <f t="shared" si="21"/>
        <v>2.081563410507953E-5</v>
      </c>
    </row>
    <row r="308" spans="1:10" x14ac:dyDescent="0.15">
      <c r="A308" s="31" t="s">
        <v>72</v>
      </c>
      <c r="B308" s="31" t="s">
        <v>924</v>
      </c>
      <c r="C308" s="31">
        <v>2.0790000000000002</v>
      </c>
      <c r="D308" s="43" t="s">
        <v>759</v>
      </c>
      <c r="E308" s="31" t="s">
        <v>743</v>
      </c>
      <c r="F308" s="2">
        <v>1.6800000000000002E-4</v>
      </c>
      <c r="G308" s="2">
        <v>2.7962000000000001E-2</v>
      </c>
      <c r="H308" s="2">
        <v>11</v>
      </c>
      <c r="I308" s="31" t="s">
        <v>61</v>
      </c>
      <c r="J308" s="19">
        <f t="shared" si="21"/>
        <v>5.5639313333326885E-6</v>
      </c>
    </row>
    <row r="309" spans="1:10" x14ac:dyDescent="0.15">
      <c r="A309" s="31" t="s">
        <v>72</v>
      </c>
      <c r="B309" s="31" t="s">
        <v>924</v>
      </c>
      <c r="C309" s="31">
        <v>2.0790000000000002</v>
      </c>
      <c r="D309" s="43" t="s">
        <v>760</v>
      </c>
      <c r="E309" s="31" t="s">
        <v>743</v>
      </c>
      <c r="F309" s="2">
        <v>1.555E-3</v>
      </c>
      <c r="G309" s="2">
        <v>2.0596E-2</v>
      </c>
      <c r="H309" s="2">
        <v>18.8</v>
      </c>
      <c r="I309" s="31" t="s">
        <v>61</v>
      </c>
      <c r="J309" s="19">
        <f t="shared" si="21"/>
        <v>6.7426519871962131E-5</v>
      </c>
    </row>
    <row r="310" spans="1:10" x14ac:dyDescent="0.15">
      <c r="A310" s="31" t="s">
        <v>72</v>
      </c>
      <c r="B310" s="31" t="s">
        <v>924</v>
      </c>
      <c r="C310" s="31">
        <v>2.0790000000000002</v>
      </c>
      <c r="D310" s="43" t="s">
        <v>761</v>
      </c>
      <c r="E310" s="31" t="s">
        <v>743</v>
      </c>
      <c r="F310" s="2">
        <v>2.5890000000000002E-3</v>
      </c>
      <c r="G310" s="2">
        <v>2.3989999999999997E-2</v>
      </c>
      <c r="H310" s="2">
        <v>25.6</v>
      </c>
      <c r="I310" s="31" t="s">
        <v>61</v>
      </c>
      <c r="J310" s="19">
        <f t="shared" si="21"/>
        <v>9.1816732241533036E-5</v>
      </c>
    </row>
    <row r="311" spans="1:10" x14ac:dyDescent="0.15">
      <c r="A311" s="31" t="s">
        <v>72</v>
      </c>
      <c r="B311" s="31" t="s">
        <v>924</v>
      </c>
      <c r="C311" s="31">
        <v>2.0790000000000002</v>
      </c>
      <c r="D311" s="43" t="s">
        <v>762</v>
      </c>
      <c r="E311" s="31" t="s">
        <v>743</v>
      </c>
      <c r="F311" s="2">
        <v>1.6359999999999999E-3</v>
      </c>
      <c r="G311" s="2">
        <v>2.0634E-2</v>
      </c>
      <c r="H311" s="2">
        <v>14</v>
      </c>
      <c r="I311" s="31" t="s">
        <v>61</v>
      </c>
      <c r="J311" s="19">
        <f t="shared" si="21"/>
        <v>7.2576851916306397E-5</v>
      </c>
    </row>
    <row r="312" spans="1:10" x14ac:dyDescent="0.15">
      <c r="A312" s="31" t="s">
        <v>72</v>
      </c>
      <c r="B312" s="31" t="s">
        <v>924</v>
      </c>
      <c r="C312" s="31">
        <v>2.0790000000000002</v>
      </c>
      <c r="D312" s="43" t="s">
        <v>7</v>
      </c>
      <c r="E312" s="31" t="s">
        <v>743</v>
      </c>
      <c r="F312" s="2">
        <v>1.204E-3</v>
      </c>
      <c r="G312" s="2">
        <v>1.057E-2</v>
      </c>
      <c r="H312" s="2">
        <v>20.399999999999999</v>
      </c>
      <c r="I312" s="31" t="s">
        <v>61</v>
      </c>
      <c r="J312" s="19">
        <f t="shared" si="21"/>
        <v>1.007200438539331E-4</v>
      </c>
    </row>
    <row r="313" spans="1:10" x14ac:dyDescent="0.15">
      <c r="A313" s="31" t="s">
        <v>72</v>
      </c>
      <c r="B313" s="31" t="s">
        <v>924</v>
      </c>
      <c r="C313" s="31">
        <v>2.0790000000000002</v>
      </c>
      <c r="D313" s="43" t="s">
        <v>8</v>
      </c>
      <c r="E313" s="31" t="s">
        <v>743</v>
      </c>
      <c r="F313" s="2">
        <v>2.0830000000000002E-3</v>
      </c>
      <c r="G313" s="2">
        <v>2.0496E-2</v>
      </c>
      <c r="H313" s="2">
        <v>18.399999999999999</v>
      </c>
      <c r="I313" s="31" t="s">
        <v>61</v>
      </c>
      <c r="J313" s="19">
        <f t="shared" si="21"/>
        <v>9.097535516619378E-5</v>
      </c>
    </row>
    <row r="314" spans="1:10" x14ac:dyDescent="0.15">
      <c r="A314" s="31" t="s">
        <v>72</v>
      </c>
      <c r="B314" s="31" t="s">
        <v>924</v>
      </c>
      <c r="C314" s="31">
        <v>2.0790000000000002</v>
      </c>
      <c r="D314" s="43" t="s">
        <v>55</v>
      </c>
      <c r="E314" s="31" t="s">
        <v>743</v>
      </c>
      <c r="F314" s="2">
        <v>4.3509999999999998E-3</v>
      </c>
      <c r="G314" s="2">
        <v>4.9183999999999999E-2</v>
      </c>
      <c r="H314" s="2">
        <v>10.66666667</v>
      </c>
      <c r="I314" s="31" t="s">
        <v>61</v>
      </c>
      <c r="J314" s="19">
        <f t="shared" si="21"/>
        <v>8.2014275500177065E-5</v>
      </c>
    </row>
    <row r="315" spans="1:10" x14ac:dyDescent="0.15">
      <c r="A315" s="31" t="s">
        <v>72</v>
      </c>
      <c r="B315" s="31" t="s">
        <v>924</v>
      </c>
      <c r="C315" s="31">
        <v>2.0790000000000002</v>
      </c>
      <c r="D315" s="43" t="s">
        <v>56</v>
      </c>
      <c r="E315" s="31" t="s">
        <v>743</v>
      </c>
      <c r="F315" s="2">
        <v>2.4550000000000002E-3</v>
      </c>
      <c r="G315" s="2">
        <v>2.8058E-2</v>
      </c>
      <c r="H315" s="2">
        <v>19.600000000000001</v>
      </c>
      <c r="I315" s="31" t="s">
        <v>61</v>
      </c>
      <c r="J315" s="19">
        <f t="shared" ref="J315:J323" si="22">F315*COS(RADIANS(H315))/(1060*G315)</f>
        <v>7.7761800912154119E-5</v>
      </c>
    </row>
    <row r="316" spans="1:10" x14ac:dyDescent="0.15">
      <c r="A316" s="31" t="s">
        <v>72</v>
      </c>
      <c r="B316" s="31" t="s">
        <v>924</v>
      </c>
      <c r="C316" s="31">
        <v>2.0790000000000002</v>
      </c>
      <c r="D316" s="43" t="s">
        <v>9</v>
      </c>
      <c r="E316" s="31" t="s">
        <v>743</v>
      </c>
      <c r="F316" s="2">
        <v>6.4920000000000004E-3</v>
      </c>
      <c r="G316" s="2">
        <v>2.5399999999999999E-2</v>
      </c>
      <c r="H316" s="2">
        <v>18</v>
      </c>
      <c r="I316" s="31" t="s">
        <v>61</v>
      </c>
      <c r="J316" s="19">
        <f t="shared" si="22"/>
        <v>2.2932175396628054E-4</v>
      </c>
    </row>
    <row r="317" spans="1:10" x14ac:dyDescent="0.15">
      <c r="A317" s="31" t="s">
        <v>72</v>
      </c>
      <c r="B317" s="31" t="s">
        <v>924</v>
      </c>
      <c r="C317" s="31">
        <v>2.0790000000000002</v>
      </c>
      <c r="D317" s="43" t="s">
        <v>89</v>
      </c>
      <c r="E317" s="31" t="s">
        <v>743</v>
      </c>
      <c r="F317" s="2">
        <v>4.5600000000000003E-4</v>
      </c>
      <c r="G317" s="2">
        <v>1.0685999999999999E-2</v>
      </c>
      <c r="H317" s="2">
        <v>15.4</v>
      </c>
      <c r="I317" s="31" t="s">
        <v>61</v>
      </c>
      <c r="J317" s="19">
        <f t="shared" si="22"/>
        <v>3.8811803164319589E-5</v>
      </c>
    </row>
    <row r="318" spans="1:10" x14ac:dyDescent="0.15">
      <c r="A318" s="29" t="s">
        <v>1</v>
      </c>
      <c r="B318" s="29" t="s">
        <v>924</v>
      </c>
      <c r="C318" s="29">
        <v>105</v>
      </c>
      <c r="D318" s="30" t="s">
        <v>764</v>
      </c>
      <c r="E318" s="29" t="s">
        <v>742</v>
      </c>
      <c r="F318" s="7">
        <v>0.872</v>
      </c>
      <c r="G318" s="7">
        <v>0.27300000000000002</v>
      </c>
      <c r="H318" s="7">
        <v>0</v>
      </c>
      <c r="I318" s="29" t="s">
        <v>58</v>
      </c>
      <c r="J318" s="19">
        <f t="shared" si="22"/>
        <v>3.0133388623954662E-3</v>
      </c>
    </row>
    <row r="319" spans="1:10" x14ac:dyDescent="0.15">
      <c r="A319" s="29" t="s">
        <v>1</v>
      </c>
      <c r="B319" s="29" t="s">
        <v>924</v>
      </c>
      <c r="C319" s="29">
        <v>105</v>
      </c>
      <c r="D319" s="30" t="s">
        <v>765</v>
      </c>
      <c r="E319" s="29" t="s">
        <v>742</v>
      </c>
      <c r="F319" s="7">
        <v>1.9970000000000001</v>
      </c>
      <c r="G319" s="7">
        <v>0.122</v>
      </c>
      <c r="H319" s="7">
        <v>37</v>
      </c>
      <c r="I319" s="29" t="s">
        <v>58</v>
      </c>
      <c r="J319" s="19">
        <f t="shared" si="22"/>
        <v>1.2332780030656078E-2</v>
      </c>
    </row>
    <row r="320" spans="1:10" x14ac:dyDescent="0.15">
      <c r="A320" s="29" t="s">
        <v>1</v>
      </c>
      <c r="B320" s="29" t="s">
        <v>924</v>
      </c>
      <c r="C320" s="29">
        <v>105</v>
      </c>
      <c r="D320" s="30" t="s">
        <v>661</v>
      </c>
      <c r="E320" s="29" t="s">
        <v>742</v>
      </c>
      <c r="F320" s="7">
        <v>0.36699999999999999</v>
      </c>
      <c r="G320" s="7">
        <v>4.7E-2</v>
      </c>
      <c r="H320" s="7">
        <v>41</v>
      </c>
      <c r="I320" s="29" t="s">
        <v>58</v>
      </c>
      <c r="J320" s="19">
        <f t="shared" si="22"/>
        <v>5.5595828169762605E-3</v>
      </c>
    </row>
    <row r="321" spans="1:10" x14ac:dyDescent="0.15">
      <c r="A321" s="29" t="s">
        <v>1</v>
      </c>
      <c r="B321" s="29" t="s">
        <v>924</v>
      </c>
      <c r="C321" s="29">
        <v>105</v>
      </c>
      <c r="D321" s="30" t="s">
        <v>119</v>
      </c>
      <c r="E321" s="29" t="s">
        <v>742</v>
      </c>
      <c r="F321" s="7">
        <v>0.153</v>
      </c>
      <c r="G321" s="7">
        <v>5.2999999999999999E-2</v>
      </c>
      <c r="H321" s="7">
        <v>35</v>
      </c>
      <c r="I321" s="29" t="s">
        <v>58</v>
      </c>
      <c r="J321" s="19">
        <f t="shared" si="22"/>
        <v>2.2308697539376249E-3</v>
      </c>
    </row>
    <row r="322" spans="1:10" x14ac:dyDescent="0.15">
      <c r="A322" s="29" t="s">
        <v>1</v>
      </c>
      <c r="B322" s="29" t="s">
        <v>924</v>
      </c>
      <c r="C322" s="29">
        <v>105</v>
      </c>
      <c r="D322" s="30" t="s">
        <v>662</v>
      </c>
      <c r="E322" s="29" t="s">
        <v>742</v>
      </c>
      <c r="F322" s="7">
        <v>0.219</v>
      </c>
      <c r="G322" s="7">
        <v>4.9000000000000002E-2</v>
      </c>
      <c r="H322" s="7">
        <v>33</v>
      </c>
      <c r="I322" s="29" t="s">
        <v>58</v>
      </c>
      <c r="J322" s="19">
        <f t="shared" si="22"/>
        <v>3.5361735537167475E-3</v>
      </c>
    </row>
    <row r="323" spans="1:10" x14ac:dyDescent="0.15">
      <c r="A323" s="29" t="s">
        <v>1</v>
      </c>
      <c r="B323" s="29" t="s">
        <v>924</v>
      </c>
      <c r="C323" s="29">
        <v>105</v>
      </c>
      <c r="D323" s="30" t="s">
        <v>767</v>
      </c>
      <c r="E323" s="29" t="s">
        <v>742</v>
      </c>
      <c r="F323" s="7">
        <v>0.94399999999999995</v>
      </c>
      <c r="G323" s="7">
        <v>9.8000000000000004E-2</v>
      </c>
      <c r="H323" s="7">
        <v>41</v>
      </c>
      <c r="I323" s="29" t="s">
        <v>58</v>
      </c>
      <c r="J323" s="19">
        <f t="shared" si="22"/>
        <v>6.8583542908191826E-3</v>
      </c>
    </row>
    <row r="324" spans="1:10" x14ac:dyDescent="0.15">
      <c r="A324" s="29" t="s">
        <v>1</v>
      </c>
      <c r="B324" s="29" t="s">
        <v>924</v>
      </c>
      <c r="C324" s="29">
        <v>105</v>
      </c>
      <c r="D324" s="30" t="s">
        <v>663</v>
      </c>
      <c r="E324" s="29" t="s">
        <v>742</v>
      </c>
      <c r="F324" s="7">
        <v>0.20699999999999999</v>
      </c>
      <c r="G324" s="7">
        <v>4.7E-2</v>
      </c>
      <c r="H324" s="7">
        <v>33</v>
      </c>
      <c r="I324" s="29" t="s">
        <v>58</v>
      </c>
      <c r="J324" s="19">
        <f t="shared" ref="J324:J327" si="23">F324*COS(RADIANS(H324))/(1060*G324)</f>
        <v>3.4846408583842385E-3</v>
      </c>
    </row>
    <row r="325" spans="1:10" x14ac:dyDescent="0.15">
      <c r="A325" s="29" t="s">
        <v>1</v>
      </c>
      <c r="B325" s="29" t="s">
        <v>924</v>
      </c>
      <c r="C325" s="29">
        <v>105</v>
      </c>
      <c r="D325" s="30" t="s">
        <v>768</v>
      </c>
      <c r="E325" s="29" t="s">
        <v>742</v>
      </c>
      <c r="F325" s="7">
        <v>0.755</v>
      </c>
      <c r="G325" s="7">
        <v>7.0999999999999994E-2</v>
      </c>
      <c r="H325" s="7">
        <v>4</v>
      </c>
      <c r="I325" s="29" t="s">
        <v>58</v>
      </c>
      <c r="J325" s="19">
        <f t="shared" si="23"/>
        <v>1.0007452271408018E-2</v>
      </c>
    </row>
    <row r="326" spans="1:10" x14ac:dyDescent="0.15">
      <c r="A326" s="29" t="s">
        <v>1</v>
      </c>
      <c r="B326" s="29" t="s">
        <v>924</v>
      </c>
      <c r="C326" s="29">
        <v>105</v>
      </c>
      <c r="D326" s="30" t="s">
        <v>670</v>
      </c>
      <c r="E326" s="29" t="s">
        <v>742</v>
      </c>
      <c r="F326" s="7">
        <v>2.0670000000000002</v>
      </c>
      <c r="G326" s="7">
        <v>0.25700000000000001</v>
      </c>
      <c r="H326" s="7">
        <v>0</v>
      </c>
      <c r="I326" s="29" t="s">
        <v>58</v>
      </c>
      <c r="J326" s="19">
        <f t="shared" si="23"/>
        <v>7.5875486381322957E-3</v>
      </c>
    </row>
    <row r="327" spans="1:10" x14ac:dyDescent="0.15">
      <c r="A327" s="29" t="s">
        <v>1</v>
      </c>
      <c r="B327" s="29" t="s">
        <v>924</v>
      </c>
      <c r="C327" s="29">
        <v>105</v>
      </c>
      <c r="D327" s="30" t="s">
        <v>766</v>
      </c>
      <c r="E327" s="29" t="s">
        <v>742</v>
      </c>
      <c r="F327" s="7">
        <v>0.61899999999999999</v>
      </c>
      <c r="G327" s="7">
        <v>5.6000000000000001E-2</v>
      </c>
      <c r="H327" s="7">
        <v>37</v>
      </c>
      <c r="I327" s="29" t="s">
        <v>58</v>
      </c>
      <c r="J327" s="19">
        <f t="shared" si="23"/>
        <v>8.3280892978314404E-3</v>
      </c>
    </row>
    <row r="328" spans="1:10" x14ac:dyDescent="0.15">
      <c r="A328" s="29" t="s">
        <v>1</v>
      </c>
      <c r="B328" s="29" t="s">
        <v>924</v>
      </c>
      <c r="C328" s="29">
        <v>105</v>
      </c>
      <c r="D328" s="30" t="s">
        <v>769</v>
      </c>
      <c r="E328" s="29" t="s">
        <v>742</v>
      </c>
      <c r="F328" s="7">
        <v>5.3999999999999999E-2</v>
      </c>
      <c r="G328" s="7">
        <v>4.4999999999999998E-2</v>
      </c>
      <c r="H328" s="7">
        <v>28</v>
      </c>
      <c r="I328" s="29" t="s">
        <v>58</v>
      </c>
      <c r="J328" s="19">
        <f t="shared" ref="J328:J334" si="24">F328*COS(RADIANS(H328))/(1060*G328)</f>
        <v>9.9956331267048344E-4</v>
      </c>
    </row>
    <row r="329" spans="1:10" x14ac:dyDescent="0.15">
      <c r="A329" s="29" t="s">
        <v>1</v>
      </c>
      <c r="B329" s="29" t="s">
        <v>924</v>
      </c>
      <c r="C329" s="29">
        <v>105</v>
      </c>
      <c r="D329" s="30" t="s">
        <v>770</v>
      </c>
      <c r="E329" s="29" t="s">
        <v>742</v>
      </c>
      <c r="F329" s="7">
        <v>0.09</v>
      </c>
      <c r="G329" s="7">
        <v>6.3E-2</v>
      </c>
      <c r="H329" s="7">
        <v>27</v>
      </c>
      <c r="I329" s="29" t="s">
        <v>58</v>
      </c>
      <c r="J329" s="19">
        <f t="shared" si="24"/>
        <v>1.2008174180436226E-3</v>
      </c>
    </row>
    <row r="330" spans="1:10" x14ac:dyDescent="0.15">
      <c r="A330" s="29" t="s">
        <v>1</v>
      </c>
      <c r="B330" s="29" t="s">
        <v>924</v>
      </c>
      <c r="C330" s="29">
        <v>105</v>
      </c>
      <c r="D330" s="30" t="s">
        <v>771</v>
      </c>
      <c r="E330" s="29" t="s">
        <v>742</v>
      </c>
      <c r="F330" s="7">
        <v>7.4999999999999997E-2</v>
      </c>
      <c r="G330" s="7">
        <v>5.2999999999999999E-2</v>
      </c>
      <c r="H330" s="7">
        <v>29</v>
      </c>
      <c r="I330" s="29" t="s">
        <v>58</v>
      </c>
      <c r="J330" s="19">
        <f t="shared" si="24"/>
        <v>1.1676126385805391E-3</v>
      </c>
    </row>
    <row r="331" spans="1:10" x14ac:dyDescent="0.15">
      <c r="A331" s="29" t="s">
        <v>1</v>
      </c>
      <c r="B331" s="29" t="s">
        <v>924</v>
      </c>
      <c r="C331" s="29">
        <v>105</v>
      </c>
      <c r="D331" s="30" t="s">
        <v>772</v>
      </c>
      <c r="E331" s="29" t="s">
        <v>742</v>
      </c>
      <c r="F331" s="7">
        <v>0.71399999999999997</v>
      </c>
      <c r="G331" s="7">
        <v>0.222</v>
      </c>
      <c r="H331" s="7">
        <v>0</v>
      </c>
      <c r="I331" s="29" t="s">
        <v>58</v>
      </c>
      <c r="J331" s="19">
        <f t="shared" si="24"/>
        <v>3.0341662417134115E-3</v>
      </c>
    </row>
    <row r="332" spans="1:10" x14ac:dyDescent="0.15">
      <c r="A332" s="29" t="s">
        <v>1</v>
      </c>
      <c r="B332" s="29" t="s">
        <v>924</v>
      </c>
      <c r="C332" s="29">
        <v>105</v>
      </c>
      <c r="D332" s="30" t="s">
        <v>773</v>
      </c>
      <c r="E332" s="29" t="s">
        <v>742</v>
      </c>
      <c r="F332" s="7">
        <v>0.221</v>
      </c>
      <c r="G332" s="7">
        <v>3.4000000000000002E-2</v>
      </c>
      <c r="H332" s="7">
        <v>42</v>
      </c>
      <c r="I332" s="29" t="s">
        <v>58</v>
      </c>
      <c r="J332" s="19">
        <f t="shared" si="24"/>
        <v>4.557020156229304E-3</v>
      </c>
    </row>
    <row r="333" spans="1:10" x14ac:dyDescent="0.15">
      <c r="A333" s="29" t="s">
        <v>1</v>
      </c>
      <c r="B333" s="29" t="s">
        <v>924</v>
      </c>
      <c r="C333" s="29">
        <v>105</v>
      </c>
      <c r="D333" s="30" t="s">
        <v>774</v>
      </c>
      <c r="E333" s="29" t="s">
        <v>742</v>
      </c>
      <c r="F333" s="7">
        <v>0.26100000000000001</v>
      </c>
      <c r="G333" s="7">
        <v>7.2999999999999995E-2</v>
      </c>
      <c r="H333" s="7">
        <v>30</v>
      </c>
      <c r="I333" s="29" t="s">
        <v>58</v>
      </c>
      <c r="J333" s="19">
        <f t="shared" si="24"/>
        <v>2.9210730212941138E-3</v>
      </c>
    </row>
    <row r="334" spans="1:10" x14ac:dyDescent="0.15">
      <c r="A334" s="29" t="s">
        <v>1</v>
      </c>
      <c r="B334" s="29" t="s">
        <v>924</v>
      </c>
      <c r="C334" s="29">
        <v>105</v>
      </c>
      <c r="D334" s="30" t="s">
        <v>775</v>
      </c>
      <c r="E334" s="29" t="s">
        <v>742</v>
      </c>
      <c r="F334" s="7">
        <v>8.2000000000000003E-2</v>
      </c>
      <c r="G334" s="7">
        <v>5.6000000000000001E-2</v>
      </c>
      <c r="H334" s="7">
        <v>17</v>
      </c>
      <c r="I334" s="29" t="s">
        <v>58</v>
      </c>
      <c r="J334" s="19">
        <f t="shared" si="24"/>
        <v>1.3210409364718483E-3</v>
      </c>
    </row>
    <row r="335" spans="1:10" x14ac:dyDescent="0.15">
      <c r="A335" s="29" t="s">
        <v>1</v>
      </c>
      <c r="B335" s="29" t="s">
        <v>924</v>
      </c>
      <c r="C335" s="29">
        <v>105</v>
      </c>
      <c r="D335" s="30" t="s">
        <v>776</v>
      </c>
      <c r="E335" s="29" t="s">
        <v>742</v>
      </c>
      <c r="F335" s="7">
        <v>0.84599999999999997</v>
      </c>
      <c r="G335" s="7">
        <v>6.9000000000000006E-2</v>
      </c>
      <c r="H335" s="7">
        <v>32</v>
      </c>
      <c r="I335" s="29" t="s">
        <v>58</v>
      </c>
      <c r="J335" s="19">
        <f t="shared" ref="J335:J383" si="25">F335*COS(RADIANS(H335))/(1060*G335)</f>
        <v>9.8092519735895056E-3</v>
      </c>
    </row>
    <row r="336" spans="1:10" x14ac:dyDescent="0.15">
      <c r="A336" s="29" t="s">
        <v>1</v>
      </c>
      <c r="B336" s="29" t="s">
        <v>924</v>
      </c>
      <c r="C336" s="29">
        <v>105</v>
      </c>
      <c r="D336" s="30" t="s">
        <v>777</v>
      </c>
      <c r="E336" s="29" t="s">
        <v>742</v>
      </c>
      <c r="F336" s="7">
        <v>7.3999999999999996E-2</v>
      </c>
      <c r="G336" s="7">
        <v>2.9000000000000001E-2</v>
      </c>
      <c r="H336" s="7">
        <v>35</v>
      </c>
      <c r="I336" s="29" t="s">
        <v>58</v>
      </c>
      <c r="J336" s="19">
        <f t="shared" si="25"/>
        <v>1.9719340038186527E-3</v>
      </c>
    </row>
    <row r="337" spans="1:10" x14ac:dyDescent="0.15">
      <c r="A337" s="29" t="s">
        <v>1</v>
      </c>
      <c r="B337" s="29" t="s">
        <v>924</v>
      </c>
      <c r="C337" s="29">
        <v>105</v>
      </c>
      <c r="D337" s="30" t="s">
        <v>141</v>
      </c>
      <c r="E337" s="29" t="s">
        <v>742</v>
      </c>
      <c r="F337" s="7">
        <v>0.70499999999999996</v>
      </c>
      <c r="G337" s="7">
        <v>0.127</v>
      </c>
      <c r="H337" s="7">
        <v>25</v>
      </c>
      <c r="I337" s="29" t="s">
        <v>58</v>
      </c>
      <c r="J337" s="19">
        <f t="shared" si="25"/>
        <v>4.7463006229448686E-3</v>
      </c>
    </row>
    <row r="338" spans="1:10" x14ac:dyDescent="0.15">
      <c r="A338" s="29" t="s">
        <v>1</v>
      </c>
      <c r="B338" s="29" t="s">
        <v>924</v>
      </c>
      <c r="C338" s="29">
        <v>105</v>
      </c>
      <c r="D338" s="30" t="s">
        <v>781</v>
      </c>
      <c r="E338" s="29" t="s">
        <v>743</v>
      </c>
      <c r="F338" s="7">
        <v>1.0509999999999999</v>
      </c>
      <c r="G338" s="7">
        <v>9.1999999999999998E-2</v>
      </c>
      <c r="H338" s="7">
        <v>32</v>
      </c>
      <c r="I338" s="29" t="s">
        <v>58</v>
      </c>
      <c r="J338" s="19">
        <f t="shared" si="25"/>
        <v>9.139648780356887E-3</v>
      </c>
    </row>
    <row r="339" spans="1:10" x14ac:dyDescent="0.15">
      <c r="A339" s="29" t="s">
        <v>1</v>
      </c>
      <c r="B339" s="29" t="s">
        <v>924</v>
      </c>
      <c r="C339" s="29">
        <v>105</v>
      </c>
      <c r="D339" s="30" t="s">
        <v>779</v>
      </c>
      <c r="E339" s="29" t="s">
        <v>743</v>
      </c>
      <c r="F339" s="7">
        <v>0.47099999999999997</v>
      </c>
      <c r="G339" s="7">
        <v>0.1</v>
      </c>
      <c r="H339" s="7">
        <v>39</v>
      </c>
      <c r="I339" s="29" t="s">
        <v>58</v>
      </c>
      <c r="J339" s="19">
        <f t="shared" si="25"/>
        <v>3.4531674325116346E-3</v>
      </c>
    </row>
    <row r="340" spans="1:10" x14ac:dyDescent="0.15">
      <c r="A340" s="29" t="s">
        <v>1</v>
      </c>
      <c r="B340" s="29" t="s">
        <v>924</v>
      </c>
      <c r="C340" s="29">
        <v>105</v>
      </c>
      <c r="D340" s="30" t="s">
        <v>780</v>
      </c>
      <c r="E340" s="29" t="s">
        <v>743</v>
      </c>
      <c r="F340" s="7">
        <v>1.5529999999999999</v>
      </c>
      <c r="G340" s="7">
        <v>0.107</v>
      </c>
      <c r="H340" s="7">
        <v>31</v>
      </c>
      <c r="I340" s="29" t="s">
        <v>58</v>
      </c>
      <c r="J340" s="19">
        <f t="shared" si="25"/>
        <v>1.1736737947367133E-2</v>
      </c>
    </row>
    <row r="341" spans="1:10" x14ac:dyDescent="0.15">
      <c r="A341" s="29" t="s">
        <v>1</v>
      </c>
      <c r="B341" s="29" t="s">
        <v>924</v>
      </c>
      <c r="C341" s="29">
        <v>105</v>
      </c>
      <c r="D341" s="30" t="s">
        <v>143</v>
      </c>
      <c r="E341" s="29" t="s">
        <v>743</v>
      </c>
      <c r="F341" s="7">
        <v>2.9000000000000001E-2</v>
      </c>
      <c r="G341" s="7">
        <v>2.9000000000000001E-2</v>
      </c>
      <c r="H341" s="7">
        <v>0</v>
      </c>
      <c r="I341" s="29" t="s">
        <v>58</v>
      </c>
      <c r="J341" s="19">
        <f t="shared" si="25"/>
        <v>9.4339622641509435E-4</v>
      </c>
    </row>
    <row r="342" spans="1:10" x14ac:dyDescent="0.15">
      <c r="A342" s="29" t="s">
        <v>1</v>
      </c>
      <c r="B342" s="29" t="s">
        <v>924</v>
      </c>
      <c r="C342" s="29">
        <v>105</v>
      </c>
      <c r="D342" s="30" t="s">
        <v>128</v>
      </c>
      <c r="E342" s="29" t="s">
        <v>743</v>
      </c>
      <c r="F342" s="7">
        <v>0.28899999999999998</v>
      </c>
      <c r="G342" s="7">
        <v>4.2000000000000003E-2</v>
      </c>
      <c r="H342" s="7">
        <v>28</v>
      </c>
      <c r="I342" s="29" t="s">
        <v>58</v>
      </c>
      <c r="J342" s="19">
        <f t="shared" si="25"/>
        <v>5.731622963527176E-3</v>
      </c>
    </row>
    <row r="343" spans="1:10" x14ac:dyDescent="0.15">
      <c r="A343" s="29" t="s">
        <v>1</v>
      </c>
      <c r="B343" s="29" t="s">
        <v>924</v>
      </c>
      <c r="C343" s="29">
        <v>105</v>
      </c>
      <c r="D343" s="30" t="s">
        <v>782</v>
      </c>
      <c r="E343" s="29" t="s">
        <v>743</v>
      </c>
      <c r="F343" s="7">
        <v>0.16300000000000001</v>
      </c>
      <c r="G343" s="7">
        <v>2.5000000000000001E-2</v>
      </c>
      <c r="H343" s="7">
        <v>41</v>
      </c>
      <c r="I343" s="29" t="s">
        <v>58</v>
      </c>
      <c r="J343" s="19">
        <f t="shared" si="25"/>
        <v>4.6421759085400697E-3</v>
      </c>
    </row>
    <row r="344" spans="1:10" x14ac:dyDescent="0.15">
      <c r="A344" s="29" t="s">
        <v>1</v>
      </c>
      <c r="B344" s="29" t="s">
        <v>924</v>
      </c>
      <c r="C344" s="29">
        <v>105</v>
      </c>
      <c r="D344" s="30" t="s">
        <v>784</v>
      </c>
      <c r="E344" s="29" t="s">
        <v>743</v>
      </c>
      <c r="F344" s="7">
        <v>0.32200000000000001</v>
      </c>
      <c r="G344" s="7">
        <v>1.4999999999999999E-2</v>
      </c>
      <c r="H344" s="7">
        <v>36</v>
      </c>
      <c r="I344" s="29" t="s">
        <v>58</v>
      </c>
      <c r="J344" s="19">
        <f t="shared" si="25"/>
        <v>1.6383866175392021E-2</v>
      </c>
    </row>
    <row r="345" spans="1:10" x14ac:dyDescent="0.15">
      <c r="A345" s="29" t="s">
        <v>1</v>
      </c>
      <c r="B345" s="29" t="s">
        <v>924</v>
      </c>
      <c r="C345" s="29">
        <v>105</v>
      </c>
      <c r="D345" s="30" t="s">
        <v>783</v>
      </c>
      <c r="E345" s="29" t="s">
        <v>743</v>
      </c>
      <c r="F345" s="7">
        <v>0.16900000000000001</v>
      </c>
      <c r="G345" s="7">
        <v>2.7E-2</v>
      </c>
      <c r="H345" s="7">
        <v>37</v>
      </c>
      <c r="I345" s="29" t="s">
        <v>58</v>
      </c>
      <c r="J345" s="19">
        <f t="shared" si="25"/>
        <v>4.7159119915441122E-3</v>
      </c>
    </row>
    <row r="346" spans="1:10" x14ac:dyDescent="0.15">
      <c r="A346" s="29" t="s">
        <v>1</v>
      </c>
      <c r="B346" s="29" t="s">
        <v>924</v>
      </c>
      <c r="C346" s="29">
        <v>105</v>
      </c>
      <c r="D346" s="30" t="s">
        <v>694</v>
      </c>
      <c r="E346" s="29" t="s">
        <v>743</v>
      </c>
      <c r="F346" s="7">
        <v>0.104</v>
      </c>
      <c r="G346" s="7">
        <v>4.3999999999999997E-2</v>
      </c>
      <c r="H346" s="7">
        <v>28</v>
      </c>
      <c r="I346" s="29" t="s">
        <v>58</v>
      </c>
      <c r="J346" s="19">
        <f t="shared" si="25"/>
        <v>1.9688368279873157E-3</v>
      </c>
    </row>
    <row r="347" spans="1:10" x14ac:dyDescent="0.15">
      <c r="A347" s="29" t="s">
        <v>1</v>
      </c>
      <c r="B347" s="29" t="s">
        <v>924</v>
      </c>
      <c r="C347" s="29">
        <v>105</v>
      </c>
      <c r="D347" s="30" t="s">
        <v>130</v>
      </c>
      <c r="E347" s="29" t="s">
        <v>743</v>
      </c>
      <c r="F347" s="7">
        <v>0.218</v>
      </c>
      <c r="G347" s="7">
        <v>7.0999999999999994E-2</v>
      </c>
      <c r="H347" s="7">
        <v>30</v>
      </c>
      <c r="I347" s="29" t="s">
        <v>58</v>
      </c>
      <c r="J347" s="19">
        <f t="shared" si="25"/>
        <v>2.5085508640048854E-3</v>
      </c>
    </row>
    <row r="348" spans="1:10" x14ac:dyDescent="0.15">
      <c r="A348" s="29" t="s">
        <v>1</v>
      </c>
      <c r="B348" s="29" t="s">
        <v>924</v>
      </c>
      <c r="C348" s="29">
        <v>105</v>
      </c>
      <c r="D348" s="30" t="s">
        <v>108</v>
      </c>
      <c r="E348" s="29" t="s">
        <v>743</v>
      </c>
      <c r="F348" s="7">
        <v>0.312</v>
      </c>
      <c r="G348" s="7">
        <v>1.2999999999999999E-2</v>
      </c>
      <c r="H348" s="7">
        <v>36</v>
      </c>
      <c r="I348" s="29" t="s">
        <v>58</v>
      </c>
      <c r="J348" s="19">
        <f t="shared" si="25"/>
        <v>1.8317365910376169E-2</v>
      </c>
    </row>
    <row r="349" spans="1:10" x14ac:dyDescent="0.15">
      <c r="A349" s="29" t="s">
        <v>1</v>
      </c>
      <c r="B349" s="29" t="s">
        <v>924</v>
      </c>
      <c r="C349" s="29">
        <v>105</v>
      </c>
      <c r="D349" s="30" t="s">
        <v>778</v>
      </c>
      <c r="E349" s="29" t="s">
        <v>743</v>
      </c>
      <c r="F349" s="7">
        <v>0.94</v>
      </c>
      <c r="G349" s="7">
        <v>6.3E-2</v>
      </c>
      <c r="H349" s="7">
        <v>34</v>
      </c>
      <c r="I349" s="29" t="s">
        <v>58</v>
      </c>
      <c r="J349" s="19">
        <f t="shared" si="25"/>
        <v>1.1669591467531283E-2</v>
      </c>
    </row>
    <row r="350" spans="1:10" x14ac:dyDescent="0.15">
      <c r="A350" s="27" t="s">
        <v>823</v>
      </c>
      <c r="B350" s="27" t="s">
        <v>924</v>
      </c>
      <c r="C350" s="27">
        <v>1.45</v>
      </c>
      <c r="D350" s="28" t="s">
        <v>11</v>
      </c>
      <c r="E350" s="27" t="s">
        <v>742</v>
      </c>
      <c r="F350" s="27">
        <v>1.1254E-2</v>
      </c>
      <c r="G350" s="1">
        <v>9.1243907999999999E-2</v>
      </c>
      <c r="H350" s="1">
        <v>0</v>
      </c>
      <c r="I350" s="27" t="s">
        <v>824</v>
      </c>
      <c r="J350" s="19">
        <f t="shared" si="25"/>
        <v>1.1635824642753654E-4</v>
      </c>
    </row>
    <row r="351" spans="1:10" x14ac:dyDescent="0.15">
      <c r="A351" s="27" t="s">
        <v>823</v>
      </c>
      <c r="B351" s="27" t="s">
        <v>924</v>
      </c>
      <c r="C351" s="27">
        <v>1.45</v>
      </c>
      <c r="D351" s="28" t="s">
        <v>16</v>
      </c>
      <c r="E351" s="27" t="s">
        <v>742</v>
      </c>
      <c r="F351" s="27">
        <v>5.1611000000000001E-3</v>
      </c>
      <c r="G351" s="1">
        <v>3.5200000000000002E-2</v>
      </c>
      <c r="H351" s="1">
        <v>2.5</v>
      </c>
      <c r="I351" s="27" t="s">
        <v>824</v>
      </c>
      <c r="J351" s="19">
        <f t="shared" si="25"/>
        <v>1.3819113894741975E-4</v>
      </c>
    </row>
    <row r="352" spans="1:10" x14ac:dyDescent="0.15">
      <c r="A352" s="27" t="s">
        <v>823</v>
      </c>
      <c r="B352" s="27" t="s">
        <v>924</v>
      </c>
      <c r="C352" s="27">
        <v>1.45</v>
      </c>
      <c r="D352" s="28" t="s">
        <v>15</v>
      </c>
      <c r="E352" s="27" t="s">
        <v>742</v>
      </c>
      <c r="F352" s="27">
        <v>2.25045E-2</v>
      </c>
      <c r="G352" s="1">
        <v>6.8474167000000002E-2</v>
      </c>
      <c r="H352" s="1">
        <v>7.0833333329999997</v>
      </c>
      <c r="I352" s="27" t="s">
        <v>824</v>
      </c>
      <c r="J352" s="19">
        <f t="shared" si="25"/>
        <v>3.0768720114822488E-4</v>
      </c>
    </row>
    <row r="353" spans="1:10" x14ac:dyDescent="0.15">
      <c r="A353" s="27" t="s">
        <v>823</v>
      </c>
      <c r="B353" s="27" t="s">
        <v>924</v>
      </c>
      <c r="C353" s="27">
        <v>1.45</v>
      </c>
      <c r="D353" s="28" t="s">
        <v>5</v>
      </c>
      <c r="E353" s="27" t="s">
        <v>742</v>
      </c>
      <c r="F353" s="27">
        <v>8.3969999999999997E-4</v>
      </c>
      <c r="G353" s="1">
        <v>2.794E-2</v>
      </c>
      <c r="H353" s="1">
        <v>5</v>
      </c>
      <c r="I353" s="27" t="s">
        <v>824</v>
      </c>
      <c r="J353" s="19">
        <f t="shared" si="25"/>
        <v>2.8244644453331221E-5</v>
      </c>
    </row>
    <row r="354" spans="1:10" x14ac:dyDescent="0.15">
      <c r="A354" s="27" t="s">
        <v>823</v>
      </c>
      <c r="B354" s="27" t="s">
        <v>924</v>
      </c>
      <c r="C354" s="27">
        <v>1.45</v>
      </c>
      <c r="D354" s="28" t="s">
        <v>825</v>
      </c>
      <c r="E354" s="27" t="s">
        <v>742</v>
      </c>
      <c r="F354" s="27">
        <v>1.3711399999999999E-2</v>
      </c>
      <c r="G354" s="1">
        <v>2.5273E-2</v>
      </c>
      <c r="H354" s="1">
        <v>42</v>
      </c>
      <c r="I354" s="27" t="s">
        <v>824</v>
      </c>
      <c r="J354" s="19">
        <f t="shared" si="25"/>
        <v>3.8035803591015329E-4</v>
      </c>
    </row>
    <row r="355" spans="1:10" x14ac:dyDescent="0.15">
      <c r="A355" s="27" t="s">
        <v>823</v>
      </c>
      <c r="B355" s="27" t="s">
        <v>924</v>
      </c>
      <c r="C355" s="27">
        <v>1.45</v>
      </c>
      <c r="D355" s="28" t="s">
        <v>826</v>
      </c>
      <c r="E355" s="27" t="s">
        <v>742</v>
      </c>
      <c r="F355" s="27">
        <v>2.7548E-3</v>
      </c>
      <c r="G355" s="1">
        <v>2.4645463999999999E-2</v>
      </c>
      <c r="H355" s="1">
        <v>10</v>
      </c>
      <c r="I355" s="27" t="s">
        <v>824</v>
      </c>
      <c r="J355" s="19">
        <f t="shared" si="25"/>
        <v>1.0384812723064243E-4</v>
      </c>
    </row>
    <row r="356" spans="1:10" x14ac:dyDescent="0.15">
      <c r="A356" s="27" t="s">
        <v>823</v>
      </c>
      <c r="B356" s="27" t="s">
        <v>924</v>
      </c>
      <c r="C356" s="27">
        <v>1.45</v>
      </c>
      <c r="D356" s="28" t="s">
        <v>827</v>
      </c>
      <c r="E356" s="27" t="s">
        <v>742</v>
      </c>
      <c r="F356" s="27">
        <v>7.2880000000000002E-3</v>
      </c>
      <c r="G356" s="1">
        <v>5.0629209000000001E-2</v>
      </c>
      <c r="H356" s="1">
        <v>5</v>
      </c>
      <c r="I356" s="27" t="s">
        <v>824</v>
      </c>
      <c r="J356" s="19">
        <f t="shared" si="25"/>
        <v>1.3528373418870179E-4</v>
      </c>
    </row>
    <row r="357" spans="1:10" x14ac:dyDescent="0.15">
      <c r="A357" s="27" t="s">
        <v>823</v>
      </c>
      <c r="B357" s="27" t="s">
        <v>924</v>
      </c>
      <c r="C357" s="27">
        <v>1.45</v>
      </c>
      <c r="D357" s="28" t="s">
        <v>828</v>
      </c>
      <c r="E357" s="27" t="s">
        <v>742</v>
      </c>
      <c r="F357" s="27">
        <v>2.1051000000000004E-3</v>
      </c>
      <c r="G357" s="1">
        <v>2.2859999999999998E-2</v>
      </c>
      <c r="H357" s="1">
        <v>20</v>
      </c>
      <c r="I357" s="27" t="s">
        <v>824</v>
      </c>
      <c r="J357" s="19">
        <f t="shared" si="25"/>
        <v>8.1635011143152604E-5</v>
      </c>
    </row>
    <row r="358" spans="1:10" x14ac:dyDescent="0.15">
      <c r="A358" s="27" t="s">
        <v>823</v>
      </c>
      <c r="B358" s="27" t="s">
        <v>924</v>
      </c>
      <c r="C358" s="27">
        <v>1.45</v>
      </c>
      <c r="D358" s="28" t="s">
        <v>25</v>
      </c>
      <c r="E358" s="27" t="s">
        <v>742</v>
      </c>
      <c r="F358" s="27">
        <v>1.23719E-2</v>
      </c>
      <c r="G358" s="1">
        <v>7.8486E-2</v>
      </c>
      <c r="H358" s="1">
        <v>2.5</v>
      </c>
      <c r="I358" s="27" t="s">
        <v>824</v>
      </c>
      <c r="J358" s="19">
        <f t="shared" si="25"/>
        <v>1.4856783366470579E-4</v>
      </c>
    </row>
    <row r="359" spans="1:10" x14ac:dyDescent="0.15">
      <c r="A359" s="27" t="s">
        <v>823</v>
      </c>
      <c r="B359" s="27" t="s">
        <v>924</v>
      </c>
      <c r="C359" s="27">
        <v>1.45</v>
      </c>
      <c r="D359" s="28" t="s">
        <v>24</v>
      </c>
      <c r="E359" s="27" t="s">
        <v>742</v>
      </c>
      <c r="F359" s="27">
        <v>2.174E-4</v>
      </c>
      <c r="G359" s="1">
        <v>1.0795000000000001E-2</v>
      </c>
      <c r="H359" s="1">
        <v>40</v>
      </c>
      <c r="I359" s="27" t="s">
        <v>824</v>
      </c>
      <c r="J359" s="19">
        <f t="shared" si="25"/>
        <v>1.4554087928029732E-5</v>
      </c>
    </row>
    <row r="360" spans="1:10" x14ac:dyDescent="0.15">
      <c r="A360" s="27" t="s">
        <v>823</v>
      </c>
      <c r="B360" s="27" t="s">
        <v>924</v>
      </c>
      <c r="C360" s="27">
        <v>1.45</v>
      </c>
      <c r="D360" s="28" t="s">
        <v>746</v>
      </c>
      <c r="E360" s="27" t="s">
        <v>742</v>
      </c>
      <c r="F360" s="27">
        <v>1.0569E-2</v>
      </c>
      <c r="G360" s="1">
        <v>2.5336500000000001E-2</v>
      </c>
      <c r="H360" s="1">
        <v>22.5</v>
      </c>
      <c r="I360" s="27" t="s">
        <v>824</v>
      </c>
      <c r="J360" s="19">
        <f t="shared" si="25"/>
        <v>3.6357729783945044E-4</v>
      </c>
    </row>
    <row r="361" spans="1:10" x14ac:dyDescent="0.15">
      <c r="A361" s="27" t="s">
        <v>823</v>
      </c>
      <c r="B361" s="27" t="s">
        <v>924</v>
      </c>
      <c r="C361" s="27">
        <v>1.45</v>
      </c>
      <c r="D361" s="28" t="s">
        <v>27</v>
      </c>
      <c r="E361" s="27" t="s">
        <v>742</v>
      </c>
      <c r="F361" s="27">
        <v>4.4130000000000005E-4</v>
      </c>
      <c r="G361" s="1">
        <v>2.2859999999999998E-2</v>
      </c>
      <c r="H361" s="1">
        <v>30</v>
      </c>
      <c r="I361" s="27" t="s">
        <v>824</v>
      </c>
      <c r="J361" s="19">
        <f t="shared" si="25"/>
        <v>1.5771843819230793E-5</v>
      </c>
    </row>
    <row r="362" spans="1:10" x14ac:dyDescent="0.15">
      <c r="A362" s="27" t="s">
        <v>823</v>
      </c>
      <c r="B362" s="27" t="s">
        <v>924</v>
      </c>
      <c r="C362" s="27">
        <v>1.45</v>
      </c>
      <c r="D362" s="28" t="s">
        <v>829</v>
      </c>
      <c r="E362" s="27" t="s">
        <v>742</v>
      </c>
      <c r="F362" s="27">
        <v>3.1722999999999999E-3</v>
      </c>
      <c r="G362" s="1">
        <v>2.6415999999999999E-2</v>
      </c>
      <c r="H362" s="1">
        <v>11</v>
      </c>
      <c r="I362" s="27" t="s">
        <v>824</v>
      </c>
      <c r="J362" s="19">
        <f t="shared" si="25"/>
        <v>1.1121104112326951E-4</v>
      </c>
    </row>
    <row r="363" spans="1:10" x14ac:dyDescent="0.15">
      <c r="A363" s="27" t="s">
        <v>823</v>
      </c>
      <c r="B363" s="27" t="s">
        <v>924</v>
      </c>
      <c r="C363" s="27">
        <v>1.45</v>
      </c>
      <c r="D363" s="28" t="s">
        <v>34</v>
      </c>
      <c r="E363" s="27" t="s">
        <v>742</v>
      </c>
      <c r="F363" s="27">
        <v>1.5329E-3</v>
      </c>
      <c r="G363" s="1">
        <v>6.3500000000000001E-2</v>
      </c>
      <c r="H363" s="1">
        <v>0</v>
      </c>
      <c r="I363" s="27" t="s">
        <v>824</v>
      </c>
      <c r="J363" s="19">
        <f t="shared" si="25"/>
        <v>2.2773733471995244E-5</v>
      </c>
    </row>
    <row r="364" spans="1:10" x14ac:dyDescent="0.15">
      <c r="A364" s="27" t="s">
        <v>823</v>
      </c>
      <c r="B364" s="27" t="s">
        <v>924</v>
      </c>
      <c r="C364" s="27">
        <v>1.45</v>
      </c>
      <c r="D364" s="28" t="s">
        <v>32</v>
      </c>
      <c r="E364" s="27" t="s">
        <v>742</v>
      </c>
      <c r="F364" s="27">
        <v>3.4796799999999996E-2</v>
      </c>
      <c r="G364" s="1">
        <v>9.4889925999999999E-2</v>
      </c>
      <c r="H364" s="1">
        <v>0</v>
      </c>
      <c r="I364" s="27" t="s">
        <v>824</v>
      </c>
      <c r="J364" s="19">
        <f t="shared" si="25"/>
        <v>3.4594999906861296E-4</v>
      </c>
    </row>
    <row r="365" spans="1:10" x14ac:dyDescent="0.15">
      <c r="A365" s="27" t="s">
        <v>823</v>
      </c>
      <c r="B365" s="27" t="s">
        <v>924</v>
      </c>
      <c r="C365" s="27">
        <v>1.45</v>
      </c>
      <c r="D365" s="28" t="s">
        <v>45</v>
      </c>
      <c r="E365" s="27" t="s">
        <v>742</v>
      </c>
      <c r="F365" s="27">
        <v>2.4359999999999998E-3</v>
      </c>
      <c r="G365" s="1">
        <v>1.0148496E-2</v>
      </c>
      <c r="H365" s="1">
        <v>40</v>
      </c>
      <c r="I365" s="27" t="s">
        <v>824</v>
      </c>
      <c r="J365" s="19">
        <f t="shared" si="25"/>
        <v>1.7346972914014449E-4</v>
      </c>
    </row>
    <row r="366" spans="1:10" x14ac:dyDescent="0.15">
      <c r="A366" s="27" t="s">
        <v>823</v>
      </c>
      <c r="B366" s="27" t="s">
        <v>924</v>
      </c>
      <c r="C366" s="27">
        <v>1.45</v>
      </c>
      <c r="D366" s="28" t="s">
        <v>39</v>
      </c>
      <c r="E366" s="27" t="s">
        <v>742</v>
      </c>
      <c r="F366" s="27">
        <v>1.9157E-3</v>
      </c>
      <c r="G366" s="1">
        <v>5.4176347999999999E-2</v>
      </c>
      <c r="H366" s="1">
        <v>0</v>
      </c>
      <c r="I366" s="27" t="s">
        <v>824</v>
      </c>
      <c r="J366" s="19">
        <f t="shared" si="25"/>
        <v>3.3358914317063163E-5</v>
      </c>
    </row>
    <row r="367" spans="1:10" x14ac:dyDescent="0.15">
      <c r="A367" s="27" t="s">
        <v>823</v>
      </c>
      <c r="B367" s="27" t="s">
        <v>924</v>
      </c>
      <c r="C367" s="27">
        <v>1.45</v>
      </c>
      <c r="D367" s="28" t="s">
        <v>830</v>
      </c>
      <c r="E367" s="27" t="s">
        <v>742</v>
      </c>
      <c r="F367" s="27">
        <v>5.0094000000000007E-3</v>
      </c>
      <c r="G367" s="1">
        <v>5.219E-2</v>
      </c>
      <c r="H367" s="1">
        <v>0</v>
      </c>
      <c r="I367" s="27" t="s">
        <v>824</v>
      </c>
      <c r="J367" s="19">
        <f t="shared" si="25"/>
        <v>9.0550853738336352E-5</v>
      </c>
    </row>
    <row r="368" spans="1:10" x14ac:dyDescent="0.15">
      <c r="A368" s="27" t="s">
        <v>823</v>
      </c>
      <c r="B368" s="27" t="s">
        <v>924</v>
      </c>
      <c r="C368" s="27">
        <v>1.45</v>
      </c>
      <c r="D368" s="28" t="s">
        <v>44</v>
      </c>
      <c r="E368" s="27" t="s">
        <v>742</v>
      </c>
      <c r="F368" s="27">
        <v>4.0026000000000003E-3</v>
      </c>
      <c r="G368" s="1">
        <v>2.4383999999999999E-2</v>
      </c>
      <c r="H368" s="1">
        <v>0</v>
      </c>
      <c r="I368" s="27" t="s">
        <v>824</v>
      </c>
      <c r="J368" s="19">
        <f t="shared" si="25"/>
        <v>1.5485719061060765E-4</v>
      </c>
    </row>
    <row r="369" spans="1:10" x14ac:dyDescent="0.15">
      <c r="A369" s="27" t="s">
        <v>823</v>
      </c>
      <c r="B369" s="27" t="s">
        <v>924</v>
      </c>
      <c r="C369" s="27">
        <v>1.45</v>
      </c>
      <c r="D369" s="28" t="s">
        <v>47</v>
      </c>
      <c r="E369" s="27" t="s">
        <v>742</v>
      </c>
      <c r="F369" s="27">
        <v>2.0274999999999998E-3</v>
      </c>
      <c r="G369" s="1">
        <v>3.048E-2</v>
      </c>
      <c r="H369" s="1">
        <v>0</v>
      </c>
      <c r="I369" s="27" t="s">
        <v>824</v>
      </c>
      <c r="J369" s="19">
        <f t="shared" si="25"/>
        <v>6.2753800822067053E-5</v>
      </c>
    </row>
    <row r="370" spans="1:10" x14ac:dyDescent="0.15">
      <c r="A370" s="27" t="s">
        <v>823</v>
      </c>
      <c r="B370" s="27" t="s">
        <v>924</v>
      </c>
      <c r="C370" s="27">
        <v>1.45</v>
      </c>
      <c r="D370" s="28" t="s">
        <v>831</v>
      </c>
      <c r="E370" s="27" t="s">
        <v>743</v>
      </c>
      <c r="F370" s="27">
        <v>1.00462E-2</v>
      </c>
      <c r="G370" s="1">
        <v>4.5719999999999997E-2</v>
      </c>
      <c r="H370" s="1">
        <v>10</v>
      </c>
      <c r="I370" s="27" t="s">
        <v>824</v>
      </c>
      <c r="J370" s="19">
        <f t="shared" si="25"/>
        <v>2.0414614900194882E-4</v>
      </c>
    </row>
    <row r="371" spans="1:10" x14ac:dyDescent="0.15">
      <c r="A371" s="27" t="s">
        <v>823</v>
      </c>
      <c r="B371" s="27" t="s">
        <v>924</v>
      </c>
      <c r="C371" s="27">
        <v>1.45</v>
      </c>
      <c r="D371" s="28" t="s">
        <v>832</v>
      </c>
      <c r="E371" s="27" t="s">
        <v>743</v>
      </c>
      <c r="F371" s="27">
        <v>2.5631E-3</v>
      </c>
      <c r="G371" s="1">
        <v>7.6200000000000004E-2</v>
      </c>
      <c r="H371" s="1">
        <v>20</v>
      </c>
      <c r="I371" s="27" t="s">
        <v>824</v>
      </c>
      <c r="J371" s="19">
        <f t="shared" si="25"/>
        <v>2.9818825290154533E-5</v>
      </c>
    </row>
    <row r="372" spans="1:10" x14ac:dyDescent="0.15">
      <c r="A372" s="27" t="s">
        <v>823</v>
      </c>
      <c r="B372" s="27" t="s">
        <v>924</v>
      </c>
      <c r="C372" s="27">
        <v>1.45</v>
      </c>
      <c r="D372" s="28" t="s">
        <v>833</v>
      </c>
      <c r="E372" s="27" t="s">
        <v>743</v>
      </c>
      <c r="F372" s="27">
        <v>6.9579000000000004E-3</v>
      </c>
      <c r="G372" s="1">
        <v>3.7253333E-2</v>
      </c>
      <c r="H372" s="1">
        <v>14.33333333</v>
      </c>
      <c r="I372" s="27" t="s">
        <v>824</v>
      </c>
      <c r="J372" s="19">
        <f t="shared" si="25"/>
        <v>1.7071572606663866E-4</v>
      </c>
    </row>
    <row r="373" spans="1:10" x14ac:dyDescent="0.15">
      <c r="A373" s="27" t="s">
        <v>823</v>
      </c>
      <c r="B373" s="27" t="s">
        <v>924</v>
      </c>
      <c r="C373" s="27">
        <v>1.45</v>
      </c>
      <c r="D373" s="28" t="s">
        <v>6</v>
      </c>
      <c r="E373" s="27" t="s">
        <v>743</v>
      </c>
      <c r="F373" s="27">
        <v>4.6632000000000002E-3</v>
      </c>
      <c r="G373" s="1">
        <v>3.175E-2</v>
      </c>
      <c r="H373" s="1">
        <v>15</v>
      </c>
      <c r="I373" s="27" t="s">
        <v>824</v>
      </c>
      <c r="J373" s="19">
        <f t="shared" si="25"/>
        <v>1.3383762630073343E-4</v>
      </c>
    </row>
    <row r="374" spans="1:10" x14ac:dyDescent="0.15">
      <c r="A374" s="27" t="s">
        <v>823</v>
      </c>
      <c r="B374" s="27" t="s">
        <v>924</v>
      </c>
      <c r="C374" s="27">
        <v>1.45</v>
      </c>
      <c r="D374" s="28" t="s">
        <v>7</v>
      </c>
      <c r="E374" s="27" t="s">
        <v>743</v>
      </c>
      <c r="F374" s="27">
        <v>1.9764000000000001E-3</v>
      </c>
      <c r="G374" s="1">
        <v>2.0320000000000001E-2</v>
      </c>
      <c r="H374" s="1">
        <v>17</v>
      </c>
      <c r="I374" s="27" t="s">
        <v>824</v>
      </c>
      <c r="J374" s="19">
        <f t="shared" si="25"/>
        <v>8.7748882023721558E-5</v>
      </c>
    </row>
    <row r="375" spans="1:10" x14ac:dyDescent="0.15">
      <c r="A375" s="27" t="s">
        <v>823</v>
      </c>
      <c r="B375" s="27" t="s">
        <v>924</v>
      </c>
      <c r="C375" s="27">
        <v>1.45</v>
      </c>
      <c r="D375" s="28" t="s">
        <v>834</v>
      </c>
      <c r="E375" s="27" t="s">
        <v>743</v>
      </c>
      <c r="F375" s="27">
        <v>8.0400000000000003E-4</v>
      </c>
      <c r="G375" s="1">
        <v>1.651E-2</v>
      </c>
      <c r="H375" s="1">
        <v>25</v>
      </c>
      <c r="I375" s="27" t="s">
        <v>824</v>
      </c>
      <c r="J375" s="19">
        <f t="shared" si="25"/>
        <v>4.1636941634999174E-5</v>
      </c>
    </row>
    <row r="376" spans="1:10" x14ac:dyDescent="0.15">
      <c r="A376" s="27" t="s">
        <v>823</v>
      </c>
      <c r="B376" s="27" t="s">
        <v>924</v>
      </c>
      <c r="C376" s="27">
        <v>1.45</v>
      </c>
      <c r="D376" s="28" t="s">
        <v>835</v>
      </c>
      <c r="E376" s="27" t="s">
        <v>743</v>
      </c>
      <c r="F376" s="27">
        <v>8.5340000000000004E-4</v>
      </c>
      <c r="G376" s="1">
        <v>1.3716000000000001E-2</v>
      </c>
      <c r="H376" s="1">
        <v>25</v>
      </c>
      <c r="I376" s="27" t="s">
        <v>824</v>
      </c>
      <c r="J376" s="19">
        <f t="shared" si="25"/>
        <v>5.3197963640939728E-5</v>
      </c>
    </row>
    <row r="377" spans="1:10" x14ac:dyDescent="0.15">
      <c r="A377" s="27" t="s">
        <v>823</v>
      </c>
      <c r="B377" s="27" t="s">
        <v>924</v>
      </c>
      <c r="C377" s="27">
        <v>1.45</v>
      </c>
      <c r="D377" s="28" t="s">
        <v>836</v>
      </c>
      <c r="E377" s="27" t="s">
        <v>743</v>
      </c>
      <c r="F377" s="27">
        <v>3.4422000000000003E-3</v>
      </c>
      <c r="G377" s="1">
        <v>3.3020000000000001E-2</v>
      </c>
      <c r="H377" s="1">
        <v>12</v>
      </c>
      <c r="I377" s="27" t="s">
        <v>824</v>
      </c>
      <c r="J377" s="19">
        <f t="shared" si="25"/>
        <v>9.6196121025733569E-5</v>
      </c>
    </row>
    <row r="378" spans="1:10" x14ac:dyDescent="0.15">
      <c r="A378" s="27" t="s">
        <v>823</v>
      </c>
      <c r="B378" s="27" t="s">
        <v>924</v>
      </c>
      <c r="C378" s="27">
        <v>1.45</v>
      </c>
      <c r="D378" s="28" t="s">
        <v>837</v>
      </c>
      <c r="E378" s="27" t="s">
        <v>743</v>
      </c>
      <c r="F378" s="27">
        <v>2.5703000000000002E-3</v>
      </c>
      <c r="G378" s="1">
        <v>1.4097E-2</v>
      </c>
      <c r="H378" s="1">
        <v>22.5</v>
      </c>
      <c r="I378" s="27" t="s">
        <v>824</v>
      </c>
      <c r="J378" s="19">
        <f t="shared" si="25"/>
        <v>1.5891562385237599E-4</v>
      </c>
    </row>
    <row r="379" spans="1:10" x14ac:dyDescent="0.15">
      <c r="A379" s="27" t="s">
        <v>823</v>
      </c>
      <c r="B379" s="27" t="s">
        <v>924</v>
      </c>
      <c r="C379" s="27">
        <v>1.45</v>
      </c>
      <c r="D379" s="28" t="s">
        <v>838</v>
      </c>
      <c r="E379" s="27" t="s">
        <v>743</v>
      </c>
      <c r="F379" s="27">
        <v>8.6490000000000004E-4</v>
      </c>
      <c r="G379" s="1">
        <v>1.651E-2</v>
      </c>
      <c r="H379" s="1">
        <v>17.5</v>
      </c>
      <c r="I379" s="27" t="s">
        <v>824</v>
      </c>
      <c r="J379" s="19">
        <f t="shared" si="25"/>
        <v>4.7133800595530521E-5</v>
      </c>
    </row>
    <row r="380" spans="1:10" x14ac:dyDescent="0.15">
      <c r="A380" s="27" t="s">
        <v>823</v>
      </c>
      <c r="B380" s="27" t="s">
        <v>924</v>
      </c>
      <c r="C380" s="27">
        <v>1.45</v>
      </c>
      <c r="D380" s="28" t="s">
        <v>8</v>
      </c>
      <c r="E380" s="27" t="s">
        <v>743</v>
      </c>
      <c r="F380" s="27">
        <v>7.5660000000000007E-4</v>
      </c>
      <c r="G380" s="1">
        <v>1.3639800000000001E-2</v>
      </c>
      <c r="H380" s="1">
        <v>30</v>
      </c>
      <c r="I380" s="27" t="s">
        <v>824</v>
      </c>
      <c r="J380" s="19">
        <f t="shared" si="25"/>
        <v>4.5319290391251401E-5</v>
      </c>
    </row>
    <row r="381" spans="1:10" x14ac:dyDescent="0.15">
      <c r="A381" s="27" t="s">
        <v>823</v>
      </c>
      <c r="B381" s="27" t="s">
        <v>924</v>
      </c>
      <c r="C381" s="27">
        <v>1.45</v>
      </c>
      <c r="D381" s="28" t="s">
        <v>839</v>
      </c>
      <c r="E381" s="27" t="s">
        <v>743</v>
      </c>
      <c r="F381" s="27">
        <v>4.3684000000000006E-3</v>
      </c>
      <c r="G381" s="1">
        <v>4.6989999999999997E-2</v>
      </c>
      <c r="H381" s="1">
        <v>10</v>
      </c>
      <c r="I381" s="27" t="s">
        <v>824</v>
      </c>
      <c r="J381" s="19">
        <f t="shared" si="25"/>
        <v>8.636992592278827E-5</v>
      </c>
    </row>
    <row r="382" spans="1:10" x14ac:dyDescent="0.15">
      <c r="A382" s="27" t="s">
        <v>823</v>
      </c>
      <c r="B382" s="27" t="s">
        <v>924</v>
      </c>
      <c r="C382" s="27">
        <v>1.45</v>
      </c>
      <c r="D382" s="28" t="s">
        <v>840</v>
      </c>
      <c r="E382" s="27" t="s">
        <v>743</v>
      </c>
      <c r="F382" s="27">
        <v>1.0660000000000001E-3</v>
      </c>
      <c r="G382" s="1">
        <v>2.794E-2</v>
      </c>
      <c r="H382" s="1">
        <v>20</v>
      </c>
      <c r="I382" s="27" t="s">
        <v>824</v>
      </c>
      <c r="J382" s="19">
        <f t="shared" si="25"/>
        <v>3.3822893186132629E-5</v>
      </c>
    </row>
    <row r="383" spans="1:10" x14ac:dyDescent="0.15">
      <c r="A383" s="27" t="s">
        <v>823</v>
      </c>
      <c r="B383" s="27" t="s">
        <v>924</v>
      </c>
      <c r="C383" s="27">
        <v>1.45</v>
      </c>
      <c r="D383" s="28" t="s">
        <v>9</v>
      </c>
      <c r="E383" s="27" t="s">
        <v>743</v>
      </c>
      <c r="F383" s="27">
        <v>7.6874999999999999E-3</v>
      </c>
      <c r="G383" s="1">
        <v>3.8100000000000002E-2</v>
      </c>
      <c r="H383" s="1">
        <v>25</v>
      </c>
      <c r="I383" s="27" t="s">
        <v>824</v>
      </c>
      <c r="J383" s="19">
        <f t="shared" si="25"/>
        <v>1.7251624604675496E-4</v>
      </c>
    </row>
    <row r="384" spans="1:10" x14ac:dyDescent="0.15">
      <c r="A384" s="32" t="s">
        <v>74</v>
      </c>
      <c r="B384" s="32" t="s">
        <v>923</v>
      </c>
      <c r="C384" s="32">
        <v>36.667000000000002</v>
      </c>
      <c r="D384" s="44" t="s">
        <v>82</v>
      </c>
      <c r="E384" s="32" t="s">
        <v>742</v>
      </c>
      <c r="F384" s="32">
        <v>4.8400440000000003E-2</v>
      </c>
      <c r="G384" s="32">
        <v>0.11481002191715292</v>
      </c>
      <c r="H384" s="32">
        <v>1.667</v>
      </c>
      <c r="I384" s="32" t="s">
        <v>361</v>
      </c>
      <c r="J384" s="19">
        <f>F384*COS(RADIANS(H384))/(1060*G384)</f>
        <v>3.975390577342278E-4</v>
      </c>
    </row>
    <row r="385" spans="1:10" x14ac:dyDescent="0.15">
      <c r="A385" s="32" t="s">
        <v>74</v>
      </c>
      <c r="B385" s="32" t="s">
        <v>923</v>
      </c>
      <c r="C385" s="32">
        <v>36.667000000000002</v>
      </c>
      <c r="D385" s="44" t="s">
        <v>83</v>
      </c>
      <c r="E385" s="32" t="s">
        <v>742</v>
      </c>
      <c r="F385" s="32">
        <v>0.10743431000000001</v>
      </c>
      <c r="G385" s="32">
        <v>0.13830293969673219</v>
      </c>
      <c r="H385" s="32">
        <v>0</v>
      </c>
      <c r="I385" s="32" t="s">
        <v>361</v>
      </c>
      <c r="J385" s="19">
        <f t="shared" ref="J385:J446" si="26">F385*COS(RADIANS(H385))/(1060*G385)</f>
        <v>7.3283418894605186E-4</v>
      </c>
    </row>
    <row r="386" spans="1:10" x14ac:dyDescent="0.15">
      <c r="A386" s="32" t="s">
        <v>74</v>
      </c>
      <c r="B386" s="32" t="s">
        <v>923</v>
      </c>
      <c r="C386" s="32">
        <v>36.667000000000002</v>
      </c>
      <c r="D386" s="44" t="s">
        <v>84</v>
      </c>
      <c r="E386" s="32" t="s">
        <v>742</v>
      </c>
      <c r="F386" s="32">
        <v>0.13016785</v>
      </c>
      <c r="G386" s="32">
        <v>0.10472266739032794</v>
      </c>
      <c r="H386" s="32">
        <v>0</v>
      </c>
      <c r="I386" s="32" t="s">
        <v>361</v>
      </c>
      <c r="J386" s="19">
        <f t="shared" si="26"/>
        <v>1.1726196586729386E-3</v>
      </c>
    </row>
    <row r="387" spans="1:10" x14ac:dyDescent="0.15">
      <c r="A387" s="32" t="s">
        <v>74</v>
      </c>
      <c r="B387" s="32" t="s">
        <v>923</v>
      </c>
      <c r="C387" s="32">
        <v>36.667000000000002</v>
      </c>
      <c r="D387" s="44" t="s">
        <v>85</v>
      </c>
      <c r="E387" s="32" t="s">
        <v>742</v>
      </c>
      <c r="F387" s="32">
        <v>3.8500350000000003E-2</v>
      </c>
      <c r="G387" s="32">
        <v>6.3941882148657134E-2</v>
      </c>
      <c r="H387" s="32">
        <v>23.888999999999999</v>
      </c>
      <c r="I387" s="32" t="s">
        <v>361</v>
      </c>
      <c r="J387" s="19">
        <f t="shared" si="26"/>
        <v>5.1937038631934556E-4</v>
      </c>
    </row>
    <row r="388" spans="1:10" x14ac:dyDescent="0.15">
      <c r="A388" s="32" t="s">
        <v>74</v>
      </c>
      <c r="B388" s="32" t="s">
        <v>923</v>
      </c>
      <c r="C388" s="32">
        <v>36.667000000000002</v>
      </c>
      <c r="D388" s="44" t="s">
        <v>4</v>
      </c>
      <c r="E388" s="32" t="s">
        <v>742</v>
      </c>
      <c r="F388" s="32">
        <v>8.5800780000000007E-2</v>
      </c>
      <c r="G388" s="32">
        <v>0.13233016399005948</v>
      </c>
      <c r="H388" s="32">
        <v>0.222</v>
      </c>
      <c r="I388" s="32" t="s">
        <v>361</v>
      </c>
      <c r="J388" s="19">
        <f t="shared" si="26"/>
        <v>6.1167856245307093E-4</v>
      </c>
    </row>
    <row r="389" spans="1:10" x14ac:dyDescent="0.15">
      <c r="A389" s="32" t="s">
        <v>74</v>
      </c>
      <c r="B389" s="32" t="s">
        <v>923</v>
      </c>
      <c r="C389" s="32">
        <v>36.667000000000002</v>
      </c>
      <c r="D389" s="44" t="s">
        <v>25</v>
      </c>
      <c r="E389" s="32" t="s">
        <v>742</v>
      </c>
      <c r="F389" s="32">
        <v>3.7033670000000005E-2</v>
      </c>
      <c r="G389" s="32">
        <v>8.0732018301859262E-2</v>
      </c>
      <c r="H389" s="32">
        <v>2.3330000000000002</v>
      </c>
      <c r="I389" s="32" t="s">
        <v>361</v>
      </c>
      <c r="J389" s="19">
        <f t="shared" si="26"/>
        <v>4.3239926562047996E-4</v>
      </c>
    </row>
    <row r="390" spans="1:10" x14ac:dyDescent="0.15">
      <c r="A390" s="32" t="s">
        <v>74</v>
      </c>
      <c r="B390" s="32" t="s">
        <v>923</v>
      </c>
      <c r="C390" s="32">
        <v>36.667000000000002</v>
      </c>
      <c r="D390" s="44" t="s">
        <v>87</v>
      </c>
      <c r="E390" s="32" t="s">
        <v>742</v>
      </c>
      <c r="F390" s="32">
        <v>0.17856829000000002</v>
      </c>
      <c r="G390" s="32">
        <v>0.10658086427684833</v>
      </c>
      <c r="H390" s="32">
        <v>2.444</v>
      </c>
      <c r="I390" s="32" t="s">
        <v>361</v>
      </c>
      <c r="J390" s="19">
        <f t="shared" si="26"/>
        <v>1.5791522845380473E-3</v>
      </c>
    </row>
    <row r="391" spans="1:10" x14ac:dyDescent="0.15">
      <c r="A391" s="32" t="s">
        <v>74</v>
      </c>
      <c r="B391" s="32" t="s">
        <v>923</v>
      </c>
      <c r="C391" s="32">
        <v>36.667000000000002</v>
      </c>
      <c r="D391" s="44" t="s">
        <v>33</v>
      </c>
      <c r="E391" s="32" t="s">
        <v>742</v>
      </c>
      <c r="F391" s="32">
        <v>9.5334199999999994E-2</v>
      </c>
      <c r="G391" s="32">
        <v>0.14676437194785183</v>
      </c>
      <c r="H391" s="32">
        <v>0</v>
      </c>
      <c r="I391" s="32" t="s">
        <v>361</v>
      </c>
      <c r="J391" s="19">
        <f t="shared" si="26"/>
        <v>6.1280488809817236E-4</v>
      </c>
    </row>
    <row r="392" spans="1:10" x14ac:dyDescent="0.15">
      <c r="A392" s="32" t="s">
        <v>74</v>
      </c>
      <c r="B392" s="32" t="s">
        <v>923</v>
      </c>
      <c r="C392" s="32">
        <v>36.667000000000002</v>
      </c>
      <c r="D392" s="44" t="s">
        <v>77</v>
      </c>
      <c r="E392" s="32" t="s">
        <v>742</v>
      </c>
      <c r="F392" s="32">
        <v>2.4933560000000004E-2</v>
      </c>
      <c r="G392" s="32">
        <v>0.13186561476842942</v>
      </c>
      <c r="H392" s="32">
        <v>0.44400000000000001</v>
      </c>
      <c r="I392" s="32" t="s">
        <v>361</v>
      </c>
      <c r="J392" s="19">
        <f t="shared" si="26"/>
        <v>1.7837493263595736E-4</v>
      </c>
    </row>
    <row r="393" spans="1:10" x14ac:dyDescent="0.15">
      <c r="A393" s="32" t="s">
        <v>74</v>
      </c>
      <c r="B393" s="32" t="s">
        <v>923</v>
      </c>
      <c r="C393" s="32">
        <v>36.667000000000002</v>
      </c>
      <c r="D393" s="44" t="s">
        <v>78</v>
      </c>
      <c r="E393" s="32" t="s">
        <v>742</v>
      </c>
      <c r="F393" s="32">
        <v>8.9467480000000002E-2</v>
      </c>
      <c r="G393" s="32">
        <v>0.15247169095645019</v>
      </c>
      <c r="H393" s="32">
        <v>1.222</v>
      </c>
      <c r="I393" s="32" t="s">
        <v>361</v>
      </c>
      <c r="J393" s="19">
        <f t="shared" si="26"/>
        <v>5.534410126958357E-4</v>
      </c>
    </row>
    <row r="394" spans="1:10" x14ac:dyDescent="0.15">
      <c r="A394" s="32" t="s">
        <v>74</v>
      </c>
      <c r="B394" s="32" t="s">
        <v>923</v>
      </c>
      <c r="C394" s="32">
        <v>36.667000000000002</v>
      </c>
      <c r="D394" s="44" t="s">
        <v>86</v>
      </c>
      <c r="E394" s="32" t="s">
        <v>742</v>
      </c>
      <c r="F394" s="32">
        <v>9.7167550000000005E-2</v>
      </c>
      <c r="G394" s="32">
        <v>0.12931059404946385</v>
      </c>
      <c r="H394" s="32">
        <v>0</v>
      </c>
      <c r="I394" s="32" t="s">
        <v>361</v>
      </c>
      <c r="J394" s="19">
        <f t="shared" si="26"/>
        <v>7.0889396707075197E-4</v>
      </c>
    </row>
    <row r="395" spans="1:10" x14ac:dyDescent="0.15">
      <c r="A395" s="32" t="s">
        <v>74</v>
      </c>
      <c r="B395" s="32" t="s">
        <v>923</v>
      </c>
      <c r="C395" s="32">
        <v>36.667000000000002</v>
      </c>
      <c r="D395" s="44" t="s">
        <v>80</v>
      </c>
      <c r="E395" s="32" t="s">
        <v>742</v>
      </c>
      <c r="F395" s="32">
        <v>0.19836847000000005</v>
      </c>
      <c r="G395" s="32">
        <v>0.22822639616941556</v>
      </c>
      <c r="H395" s="32">
        <v>0</v>
      </c>
      <c r="I395" s="32" t="s">
        <v>361</v>
      </c>
      <c r="J395" s="19">
        <f t="shared" si="26"/>
        <v>8.1997555575832382E-4</v>
      </c>
    </row>
    <row r="396" spans="1:10" x14ac:dyDescent="0.15">
      <c r="A396" s="32" t="s">
        <v>74</v>
      </c>
      <c r="B396" s="32" t="s">
        <v>923</v>
      </c>
      <c r="C396" s="32">
        <v>36.667000000000002</v>
      </c>
      <c r="D396" s="44" t="s">
        <v>88</v>
      </c>
      <c r="E396" s="32" t="s">
        <v>742</v>
      </c>
      <c r="F396" s="32">
        <v>7.5900689999999993E-2</v>
      </c>
      <c r="G396" s="32">
        <v>0.17543369533988079</v>
      </c>
      <c r="H396" s="32">
        <v>0.111</v>
      </c>
      <c r="I396" s="32" t="s">
        <v>361</v>
      </c>
      <c r="J396" s="19">
        <f t="shared" si="26"/>
        <v>4.0815585635969485E-4</v>
      </c>
    </row>
    <row r="397" spans="1:10" x14ac:dyDescent="0.15">
      <c r="A397" s="32" t="s">
        <v>74</v>
      </c>
      <c r="B397" s="32" t="s">
        <v>923</v>
      </c>
      <c r="C397" s="32">
        <v>40</v>
      </c>
      <c r="D397" s="44" t="s">
        <v>48</v>
      </c>
      <c r="E397" s="32" t="s">
        <v>742</v>
      </c>
      <c r="F397" s="32">
        <v>7.2399999999999992E-2</v>
      </c>
      <c r="G397" s="32">
        <v>9.8407734864592755E-2</v>
      </c>
      <c r="H397" s="32">
        <v>0</v>
      </c>
      <c r="I397" s="32" t="s">
        <v>361</v>
      </c>
      <c r="J397" s="19">
        <f t="shared" si="26"/>
        <v>6.9407030744519189E-4</v>
      </c>
    </row>
    <row r="398" spans="1:10" x14ac:dyDescent="0.15">
      <c r="A398" s="32" t="s">
        <v>74</v>
      </c>
      <c r="B398" s="32" t="s">
        <v>923</v>
      </c>
      <c r="C398" s="32">
        <v>36.667000000000002</v>
      </c>
      <c r="D398" s="44" t="s">
        <v>49</v>
      </c>
      <c r="E398" s="32" t="s">
        <v>742</v>
      </c>
      <c r="F398" s="32">
        <v>0.42423719000000004</v>
      </c>
      <c r="G398" s="32">
        <v>0.1057181300081067</v>
      </c>
      <c r="H398" s="32">
        <v>24.556000000000001</v>
      </c>
      <c r="I398" s="32" t="s">
        <v>361</v>
      </c>
      <c r="J398" s="19">
        <f t="shared" si="26"/>
        <v>3.4433614606560409E-3</v>
      </c>
    </row>
    <row r="399" spans="1:10" x14ac:dyDescent="0.15">
      <c r="A399" s="32" t="s">
        <v>74</v>
      </c>
      <c r="B399" s="32" t="s">
        <v>923</v>
      </c>
      <c r="C399" s="32">
        <v>36.667000000000002</v>
      </c>
      <c r="D399" s="44" t="s">
        <v>79</v>
      </c>
      <c r="E399" s="32" t="s">
        <v>743</v>
      </c>
      <c r="F399" s="32">
        <v>9.4234190000000009E-2</v>
      </c>
      <c r="G399" s="32">
        <v>6.0789583859024318E-2</v>
      </c>
      <c r="H399" s="32">
        <v>25.667000000000002</v>
      </c>
      <c r="I399" s="32" t="s">
        <v>361</v>
      </c>
      <c r="J399" s="19">
        <f t="shared" si="26"/>
        <v>1.3181221996606822E-3</v>
      </c>
    </row>
    <row r="400" spans="1:10" x14ac:dyDescent="0.15">
      <c r="A400" s="32" t="s">
        <v>74</v>
      </c>
      <c r="B400" s="32" t="s">
        <v>923</v>
      </c>
      <c r="C400" s="32">
        <v>40</v>
      </c>
      <c r="D400" s="44" t="s">
        <v>6</v>
      </c>
      <c r="E400" s="32" t="s">
        <v>743</v>
      </c>
      <c r="F400" s="32">
        <v>5.4400000000000004E-2</v>
      </c>
      <c r="G400" s="32">
        <v>0.10469271341894371</v>
      </c>
      <c r="H400" s="32">
        <v>0</v>
      </c>
      <c r="I400" s="32" t="s">
        <v>361</v>
      </c>
      <c r="J400" s="19">
        <f t="shared" si="26"/>
        <v>4.9020369270221691E-4</v>
      </c>
    </row>
    <row r="401" spans="1:10" x14ac:dyDescent="0.15">
      <c r="A401" s="32" t="s">
        <v>74</v>
      </c>
      <c r="B401" s="32" t="s">
        <v>923</v>
      </c>
      <c r="C401" s="32">
        <v>36.667000000000002</v>
      </c>
      <c r="D401" s="44" t="s">
        <v>8</v>
      </c>
      <c r="E401" s="32" t="s">
        <v>743</v>
      </c>
      <c r="F401" s="32">
        <v>3.1900289999999998E-2</v>
      </c>
      <c r="G401" s="32">
        <v>0.12234235572501237</v>
      </c>
      <c r="H401" s="32">
        <v>0.222</v>
      </c>
      <c r="I401" s="32" t="s">
        <v>361</v>
      </c>
      <c r="J401" s="19">
        <f t="shared" si="26"/>
        <v>2.4598502397481985E-4</v>
      </c>
    </row>
    <row r="402" spans="1:10" x14ac:dyDescent="0.15">
      <c r="A402" s="32" t="s">
        <v>74</v>
      </c>
      <c r="B402" s="32" t="s">
        <v>923</v>
      </c>
      <c r="C402" s="32">
        <v>40</v>
      </c>
      <c r="D402" s="44" t="s">
        <v>54</v>
      </c>
      <c r="E402" s="32" t="s">
        <v>743</v>
      </c>
      <c r="F402" s="32">
        <v>2.3199999999999998E-2</v>
      </c>
      <c r="G402" s="32">
        <v>0.11675030814549742</v>
      </c>
      <c r="H402" s="32">
        <v>16</v>
      </c>
      <c r="I402" s="32" t="s">
        <v>361</v>
      </c>
      <c r="J402" s="19">
        <f t="shared" si="26"/>
        <v>1.8020453706758745E-4</v>
      </c>
    </row>
    <row r="403" spans="1:10" x14ac:dyDescent="0.15">
      <c r="A403" s="32" t="s">
        <v>74</v>
      </c>
      <c r="B403" s="32" t="s">
        <v>923</v>
      </c>
      <c r="C403" s="32">
        <v>36.667000000000002</v>
      </c>
      <c r="D403" s="44" t="s">
        <v>9</v>
      </c>
      <c r="E403" s="32" t="s">
        <v>743</v>
      </c>
      <c r="F403" s="32">
        <v>3.1900289999999998E-2</v>
      </c>
      <c r="G403" s="32">
        <v>7.6584257394447672E-2</v>
      </c>
      <c r="H403" s="32">
        <v>17.556000000000001</v>
      </c>
      <c r="I403" s="32" t="s">
        <v>361</v>
      </c>
      <c r="J403" s="19">
        <f t="shared" si="26"/>
        <v>3.7465773056870495E-4</v>
      </c>
    </row>
    <row r="404" spans="1:10" x14ac:dyDescent="0.15">
      <c r="A404" s="32" t="s">
        <v>74</v>
      </c>
      <c r="B404" s="32" t="s">
        <v>923</v>
      </c>
      <c r="C404" s="32">
        <v>40</v>
      </c>
      <c r="D404" s="44" t="s">
        <v>89</v>
      </c>
      <c r="E404" s="32" t="s">
        <v>743</v>
      </c>
      <c r="F404" s="32">
        <v>3.6400000000000002E-2</v>
      </c>
      <c r="G404" s="32">
        <v>7.3404450615761827E-2</v>
      </c>
      <c r="H404" s="32">
        <v>24</v>
      </c>
      <c r="I404" s="32" t="s">
        <v>361</v>
      </c>
      <c r="J404" s="19">
        <f t="shared" si="26"/>
        <v>4.2736926736940708E-4</v>
      </c>
    </row>
    <row r="405" spans="1:10" x14ac:dyDescent="0.15">
      <c r="A405" s="34" t="s">
        <v>75</v>
      </c>
      <c r="B405" s="34" t="s">
        <v>923</v>
      </c>
      <c r="C405" s="34">
        <v>1.381</v>
      </c>
      <c r="D405" s="33" t="s">
        <v>82</v>
      </c>
      <c r="E405" s="34" t="s">
        <v>742</v>
      </c>
      <c r="F405" s="34">
        <v>2.2786500000000001E-3</v>
      </c>
      <c r="G405" s="34">
        <v>4.3303444017330307E-2</v>
      </c>
      <c r="H405" s="34">
        <v>2.056</v>
      </c>
      <c r="I405" s="34" t="s">
        <v>361</v>
      </c>
      <c r="J405" s="19">
        <f t="shared" si="26"/>
        <v>4.9610048056366294E-5</v>
      </c>
    </row>
    <row r="406" spans="1:10" x14ac:dyDescent="0.15">
      <c r="A406" s="34" t="s">
        <v>75</v>
      </c>
      <c r="B406" s="34" t="s">
        <v>923</v>
      </c>
      <c r="C406" s="34">
        <v>1.609</v>
      </c>
      <c r="D406" s="33" t="s">
        <v>83</v>
      </c>
      <c r="E406" s="34" t="s">
        <v>742</v>
      </c>
      <c r="F406" s="34">
        <v>5.18098E-3</v>
      </c>
      <c r="G406" s="34">
        <v>4.1439854558849715E-2</v>
      </c>
      <c r="H406" s="34">
        <v>0</v>
      </c>
      <c r="I406" s="34" t="s">
        <v>361</v>
      </c>
      <c r="J406" s="19">
        <f t="shared" si="26"/>
        <v>1.1794725230492576E-4</v>
      </c>
    </row>
    <row r="407" spans="1:10" x14ac:dyDescent="0.15">
      <c r="A407" s="34" t="s">
        <v>75</v>
      </c>
      <c r="B407" s="34" t="s">
        <v>923</v>
      </c>
      <c r="C407" s="34">
        <v>1.609</v>
      </c>
      <c r="D407" s="33" t="s">
        <v>84</v>
      </c>
      <c r="E407" s="34" t="s">
        <v>742</v>
      </c>
      <c r="F407" s="34">
        <v>3.7328800000000001E-3</v>
      </c>
      <c r="G407" s="34">
        <v>4.4556337825079298E-2</v>
      </c>
      <c r="H407" s="34">
        <v>0</v>
      </c>
      <c r="I407" s="34" t="s">
        <v>361</v>
      </c>
      <c r="J407" s="19">
        <f t="shared" si="26"/>
        <v>7.9036677553831475E-5</v>
      </c>
    </row>
    <row r="408" spans="1:10" x14ac:dyDescent="0.15">
      <c r="A408" s="34" t="s">
        <v>75</v>
      </c>
      <c r="B408" s="34" t="s">
        <v>923</v>
      </c>
      <c r="C408" s="34">
        <v>1.609</v>
      </c>
      <c r="D408" s="33" t="s">
        <v>85</v>
      </c>
      <c r="E408" s="34" t="s">
        <v>742</v>
      </c>
      <c r="F408" s="34">
        <v>1.9951600000000002E-3</v>
      </c>
      <c r="G408" s="34">
        <v>2.6911887453117841E-2</v>
      </c>
      <c r="H408" s="34">
        <v>16.667000000000002</v>
      </c>
      <c r="I408" s="34" t="s">
        <v>361</v>
      </c>
      <c r="J408" s="19">
        <f t="shared" si="26"/>
        <v>6.700199040214596E-5</v>
      </c>
    </row>
    <row r="409" spans="1:10" x14ac:dyDescent="0.15">
      <c r="A409" s="34" t="s">
        <v>75</v>
      </c>
      <c r="B409" s="34" t="s">
        <v>923</v>
      </c>
      <c r="C409" s="34">
        <v>1.381</v>
      </c>
      <c r="D409" s="33" t="s">
        <v>4</v>
      </c>
      <c r="E409" s="34" t="s">
        <v>742</v>
      </c>
      <c r="F409" s="34">
        <v>5.9244899999999993E-3</v>
      </c>
      <c r="G409" s="34">
        <v>5.0997627564765446E-2</v>
      </c>
      <c r="H409" s="34">
        <v>0.61099999999999999</v>
      </c>
      <c r="I409" s="34" t="s">
        <v>361</v>
      </c>
      <c r="J409" s="19">
        <f t="shared" si="26"/>
        <v>1.0958987663766972E-4</v>
      </c>
    </row>
    <row r="410" spans="1:10" x14ac:dyDescent="0.15">
      <c r="A410" s="34" t="s">
        <v>75</v>
      </c>
      <c r="B410" s="34" t="s">
        <v>923</v>
      </c>
      <c r="C410" s="34">
        <v>1.609</v>
      </c>
      <c r="D410" s="33" t="s">
        <v>25</v>
      </c>
      <c r="E410" s="34" t="s">
        <v>742</v>
      </c>
      <c r="F410" s="34">
        <v>1.07803E-3</v>
      </c>
      <c r="G410" s="34">
        <v>2.8434980778718762E-2</v>
      </c>
      <c r="H410" s="34">
        <v>0.83299999999999996</v>
      </c>
      <c r="I410" s="34" t="s">
        <v>361</v>
      </c>
      <c r="J410" s="19">
        <f t="shared" si="26"/>
        <v>3.5762357667228111E-5</v>
      </c>
    </row>
    <row r="411" spans="1:10" x14ac:dyDescent="0.15">
      <c r="A411" s="34" t="s">
        <v>75</v>
      </c>
      <c r="B411" s="34" t="s">
        <v>923</v>
      </c>
      <c r="C411" s="34">
        <v>1.609</v>
      </c>
      <c r="D411" s="33" t="s">
        <v>87</v>
      </c>
      <c r="E411" s="34" t="s">
        <v>742</v>
      </c>
      <c r="F411" s="34">
        <v>6.2911900000000003E-3</v>
      </c>
      <c r="G411" s="34">
        <v>4.131097743129887E-2</v>
      </c>
      <c r="H411" s="34">
        <v>2.278</v>
      </c>
      <c r="I411" s="34" t="s">
        <v>361</v>
      </c>
      <c r="J411" s="19">
        <f t="shared" si="26"/>
        <v>1.4355493286647867E-4</v>
      </c>
    </row>
    <row r="412" spans="1:10" x14ac:dyDescent="0.15">
      <c r="A412" s="34" t="s">
        <v>75</v>
      </c>
      <c r="B412" s="34" t="s">
        <v>923</v>
      </c>
      <c r="C412" s="34">
        <v>1.609</v>
      </c>
      <c r="D412" s="33" t="s">
        <v>33</v>
      </c>
      <c r="E412" s="34" t="s">
        <v>742</v>
      </c>
      <c r="F412" s="34">
        <v>3.9098700000000002E-3</v>
      </c>
      <c r="G412" s="34">
        <v>5.2593584143250313E-2</v>
      </c>
      <c r="H412" s="34">
        <v>0</v>
      </c>
      <c r="I412" s="34" t="s">
        <v>361</v>
      </c>
      <c r="J412" s="19">
        <f t="shared" si="26"/>
        <v>7.0133204721834158E-5</v>
      </c>
    </row>
    <row r="413" spans="1:10" x14ac:dyDescent="0.15">
      <c r="A413" s="34" t="s">
        <v>75</v>
      </c>
      <c r="B413" s="34" t="s">
        <v>923</v>
      </c>
      <c r="C413" s="34">
        <v>1.609</v>
      </c>
      <c r="D413" s="33" t="s">
        <v>77</v>
      </c>
      <c r="E413" s="34" t="s">
        <v>742</v>
      </c>
      <c r="F413" s="34">
        <v>1.7377200000000001E-3</v>
      </c>
      <c r="G413" s="34">
        <v>6.1404093226726422E-2</v>
      </c>
      <c r="H413" s="34">
        <v>0.44400000000000001</v>
      </c>
      <c r="I413" s="34" t="s">
        <v>361</v>
      </c>
      <c r="J413" s="19">
        <f t="shared" si="26"/>
        <v>2.6697068258172344E-5</v>
      </c>
    </row>
    <row r="414" spans="1:10" x14ac:dyDescent="0.15">
      <c r="A414" s="34" t="s">
        <v>75</v>
      </c>
      <c r="B414" s="34" t="s">
        <v>923</v>
      </c>
      <c r="C414" s="34">
        <v>1.609</v>
      </c>
      <c r="D414" s="33" t="s">
        <v>78</v>
      </c>
      <c r="E414" s="34" t="s">
        <v>742</v>
      </c>
      <c r="F414" s="34">
        <v>4.0385899999999999E-3</v>
      </c>
      <c r="G414" s="34">
        <v>6.3606720497595456E-2</v>
      </c>
      <c r="H414" s="34">
        <v>0.94399999999999995</v>
      </c>
      <c r="I414" s="34" t="s">
        <v>361</v>
      </c>
      <c r="J414" s="19">
        <f t="shared" si="26"/>
        <v>5.9891052806899654E-5</v>
      </c>
    </row>
    <row r="415" spans="1:10" x14ac:dyDescent="0.15">
      <c r="A415" s="34" t="s">
        <v>75</v>
      </c>
      <c r="B415" s="34" t="s">
        <v>923</v>
      </c>
      <c r="C415" s="34">
        <v>1.609</v>
      </c>
      <c r="D415" s="33" t="s">
        <v>86</v>
      </c>
      <c r="E415" s="34" t="s">
        <v>742</v>
      </c>
      <c r="F415" s="34">
        <v>3.2823599999999994E-3</v>
      </c>
      <c r="G415" s="34">
        <v>4.4157990339922133E-2</v>
      </c>
      <c r="H415" s="34">
        <v>0</v>
      </c>
      <c r="I415" s="34" t="s">
        <v>361</v>
      </c>
      <c r="J415" s="19">
        <f t="shared" si="26"/>
        <v>7.0124704813305804E-5</v>
      </c>
    </row>
    <row r="416" spans="1:10" x14ac:dyDescent="0.15">
      <c r="A416" s="34" t="s">
        <v>75</v>
      </c>
      <c r="B416" s="34" t="s">
        <v>923</v>
      </c>
      <c r="C416" s="34">
        <v>1.381</v>
      </c>
      <c r="D416" s="33" t="s">
        <v>80</v>
      </c>
      <c r="E416" s="34" t="s">
        <v>742</v>
      </c>
      <c r="F416" s="34">
        <v>5.2201799999999996E-3</v>
      </c>
      <c r="G416" s="34">
        <v>6.6129893036493873E-2</v>
      </c>
      <c r="H416" s="34">
        <v>0</v>
      </c>
      <c r="I416" s="34" t="s">
        <v>361</v>
      </c>
      <c r="J416" s="19">
        <f t="shared" si="26"/>
        <v>7.4470075287885989E-5</v>
      </c>
    </row>
    <row r="417" spans="1:10" x14ac:dyDescent="0.15">
      <c r="A417" s="34" t="s">
        <v>75</v>
      </c>
      <c r="B417" s="34" t="s">
        <v>923</v>
      </c>
      <c r="C417" s="34">
        <v>1.609</v>
      </c>
      <c r="D417" s="33" t="s">
        <v>88</v>
      </c>
      <c r="E417" s="34" t="s">
        <v>742</v>
      </c>
      <c r="F417" s="34">
        <v>2.39741E-3</v>
      </c>
      <c r="G417" s="34">
        <v>6.1040894049083125E-2</v>
      </c>
      <c r="H417" s="34">
        <v>1.639</v>
      </c>
      <c r="I417" s="34" t="s">
        <v>361</v>
      </c>
      <c r="J417" s="19">
        <f t="shared" si="26"/>
        <v>3.7037174301806981E-5</v>
      </c>
    </row>
    <row r="418" spans="1:10" x14ac:dyDescent="0.15">
      <c r="A418" s="34" t="s">
        <v>75</v>
      </c>
      <c r="B418" s="34" t="s">
        <v>923</v>
      </c>
      <c r="C418" s="34">
        <v>2.4369999999999998</v>
      </c>
      <c r="D418" s="33" t="s">
        <v>48</v>
      </c>
      <c r="E418" s="34" t="s">
        <v>742</v>
      </c>
      <c r="F418" s="34">
        <v>6.0193899999999995E-3</v>
      </c>
      <c r="G418" s="34">
        <v>2.9879370930966147E-2</v>
      </c>
      <c r="H418" s="34">
        <v>0</v>
      </c>
      <c r="I418" s="34" t="s">
        <v>361</v>
      </c>
      <c r="J418" s="19">
        <f t="shared" si="26"/>
        <v>1.900531916967348E-4</v>
      </c>
    </row>
    <row r="419" spans="1:10" x14ac:dyDescent="0.15">
      <c r="A419" s="34" t="s">
        <v>75</v>
      </c>
      <c r="B419" s="34" t="s">
        <v>923</v>
      </c>
      <c r="C419" s="34">
        <v>1.381</v>
      </c>
      <c r="D419" s="33" t="s">
        <v>49</v>
      </c>
      <c r="E419" s="34" t="s">
        <v>742</v>
      </c>
      <c r="F419" s="34">
        <v>2.372558E-2</v>
      </c>
      <c r="G419" s="34">
        <v>4.9806198274496907E-2</v>
      </c>
      <c r="H419" s="34">
        <v>20.888999999999999</v>
      </c>
      <c r="I419" s="34" t="s">
        <v>361</v>
      </c>
      <c r="J419" s="19">
        <f t="shared" si="26"/>
        <v>4.1985695588773493E-4</v>
      </c>
    </row>
    <row r="420" spans="1:10" x14ac:dyDescent="0.15">
      <c r="A420" s="34" t="s">
        <v>75</v>
      </c>
      <c r="B420" s="34" t="s">
        <v>923</v>
      </c>
      <c r="C420" s="34">
        <v>1.381</v>
      </c>
      <c r="D420" s="33" t="s">
        <v>79</v>
      </c>
      <c r="E420" s="34" t="s">
        <v>743</v>
      </c>
      <c r="F420" s="34">
        <v>3.9358499999999994E-3</v>
      </c>
      <c r="G420" s="34">
        <v>3.8203681260853765E-2</v>
      </c>
      <c r="H420" s="34">
        <v>23.277999999999999</v>
      </c>
      <c r="I420" s="34" t="s">
        <v>361</v>
      </c>
      <c r="J420" s="19">
        <f t="shared" si="26"/>
        <v>8.9279766693386048E-5</v>
      </c>
    </row>
    <row r="421" spans="1:10" x14ac:dyDescent="0.15">
      <c r="A421" s="34" t="s">
        <v>75</v>
      </c>
      <c r="B421" s="34" t="s">
        <v>923</v>
      </c>
      <c r="C421" s="34">
        <v>2.4369999999999998</v>
      </c>
      <c r="D421" s="33" t="s">
        <v>6</v>
      </c>
      <c r="E421" s="34" t="s">
        <v>743</v>
      </c>
      <c r="F421" s="34">
        <v>2.1932999999999996E-3</v>
      </c>
      <c r="G421" s="34">
        <v>4.171811312783702E-2</v>
      </c>
      <c r="H421" s="34">
        <v>0</v>
      </c>
      <c r="I421" s="34" t="s">
        <v>361</v>
      </c>
      <c r="J421" s="19">
        <f t="shared" si="26"/>
        <v>4.9598382770949311E-5</v>
      </c>
    </row>
    <row r="422" spans="1:10" x14ac:dyDescent="0.15">
      <c r="A422" s="34" t="s">
        <v>75</v>
      </c>
      <c r="B422" s="34" t="s">
        <v>923</v>
      </c>
      <c r="C422" s="34">
        <v>1.381</v>
      </c>
      <c r="D422" s="33" t="s">
        <v>8</v>
      </c>
      <c r="E422" s="34" t="s">
        <v>743</v>
      </c>
      <c r="F422" s="34">
        <v>1.8781600000000002E-3</v>
      </c>
      <c r="G422" s="34">
        <v>5.0073434750818817E-2</v>
      </c>
      <c r="H422" s="34">
        <v>0.38900000000000001</v>
      </c>
      <c r="I422" s="34" t="s">
        <v>361</v>
      </c>
      <c r="J422" s="19">
        <f t="shared" si="26"/>
        <v>3.5384195809123878E-5</v>
      </c>
    </row>
    <row r="423" spans="1:10" x14ac:dyDescent="0.15">
      <c r="A423" s="34" t="s">
        <v>75</v>
      </c>
      <c r="B423" s="34" t="s">
        <v>923</v>
      </c>
      <c r="C423" s="34">
        <v>2.4369999999999998</v>
      </c>
      <c r="D423" s="33" t="s">
        <v>54</v>
      </c>
      <c r="E423" s="34" t="s">
        <v>743</v>
      </c>
      <c r="F423" s="34">
        <v>1.4378299999999998E-3</v>
      </c>
      <c r="G423" s="34">
        <v>4.708590646482734E-2</v>
      </c>
      <c r="H423" s="34">
        <v>4.3330000000000002</v>
      </c>
      <c r="I423" s="34" t="s">
        <v>361</v>
      </c>
      <c r="J423" s="19">
        <f t="shared" si="26"/>
        <v>2.872550384727611E-5</v>
      </c>
    </row>
    <row r="424" spans="1:10" x14ac:dyDescent="0.15">
      <c r="A424" s="34" t="s">
        <v>75</v>
      </c>
      <c r="B424" s="34" t="s">
        <v>923</v>
      </c>
      <c r="C424" s="34">
        <v>1.381</v>
      </c>
      <c r="D424" s="33" t="s">
        <v>9</v>
      </c>
      <c r="E424" s="34" t="s">
        <v>743</v>
      </c>
      <c r="F424" s="34">
        <v>1.96102E-3</v>
      </c>
      <c r="G424" s="34">
        <v>3.3627256603840971E-2</v>
      </c>
      <c r="H424" s="34">
        <v>15.333</v>
      </c>
      <c r="I424" s="34" t="s">
        <v>361</v>
      </c>
      <c r="J424" s="19">
        <f t="shared" si="26"/>
        <v>5.305719650569149E-5</v>
      </c>
    </row>
    <row r="425" spans="1:10" x14ac:dyDescent="0.15">
      <c r="A425" s="34" t="s">
        <v>75</v>
      </c>
      <c r="B425" s="34" t="s">
        <v>923</v>
      </c>
      <c r="C425" s="34">
        <v>1.381</v>
      </c>
      <c r="D425" s="33" t="s">
        <v>89</v>
      </c>
      <c r="E425" s="34" t="s">
        <v>743</v>
      </c>
      <c r="F425" s="34">
        <v>9.9431999999999993E-4</v>
      </c>
      <c r="G425" s="34">
        <v>3.6678206375182827E-2</v>
      </c>
      <c r="H425" s="34">
        <v>22</v>
      </c>
      <c r="I425" s="34" t="s">
        <v>361</v>
      </c>
      <c r="J425" s="19">
        <f t="shared" si="26"/>
        <v>2.3712540214128584E-5</v>
      </c>
    </row>
    <row r="426" spans="1:10" x14ac:dyDescent="0.15">
      <c r="A426" s="31" t="s">
        <v>81</v>
      </c>
      <c r="B426" s="31" t="s">
        <v>923</v>
      </c>
      <c r="C426" s="31">
        <v>0.158</v>
      </c>
      <c r="D426" s="43" t="s">
        <v>82</v>
      </c>
      <c r="E426" s="31" t="s">
        <v>742</v>
      </c>
      <c r="F426" s="31">
        <v>2.0224000000000002E-4</v>
      </c>
      <c r="G426" s="31">
        <v>2.1031927024588292E-2</v>
      </c>
      <c r="H426" s="31">
        <v>0.88900000000000001</v>
      </c>
      <c r="I426" s="31" t="s">
        <v>361</v>
      </c>
      <c r="J426" s="19">
        <f t="shared" si="26"/>
        <v>9.0704711390212523E-6</v>
      </c>
    </row>
    <row r="427" spans="1:10" x14ac:dyDescent="0.15">
      <c r="A427" s="31" t="s">
        <v>81</v>
      </c>
      <c r="B427" s="31" t="s">
        <v>923</v>
      </c>
      <c r="C427" s="31">
        <v>0.158</v>
      </c>
      <c r="D427" s="43" t="s">
        <v>83</v>
      </c>
      <c r="E427" s="31" t="s">
        <v>742</v>
      </c>
      <c r="F427" s="31">
        <v>4.6452E-4</v>
      </c>
      <c r="G427" s="31">
        <v>1.9668746569290907E-2</v>
      </c>
      <c r="H427" s="31">
        <v>0</v>
      </c>
      <c r="I427" s="31" t="s">
        <v>361</v>
      </c>
      <c r="J427" s="19">
        <f t="shared" si="26"/>
        <v>2.2280342753439549E-5</v>
      </c>
    </row>
    <row r="428" spans="1:10" x14ac:dyDescent="0.15">
      <c r="A428" s="31" t="s">
        <v>81</v>
      </c>
      <c r="B428" s="31" t="s">
        <v>923</v>
      </c>
      <c r="C428" s="31">
        <v>0.158</v>
      </c>
      <c r="D428" s="43" t="s">
        <v>84</v>
      </c>
      <c r="E428" s="31" t="s">
        <v>742</v>
      </c>
      <c r="F428" s="31">
        <v>2.5596000000000001E-4</v>
      </c>
      <c r="G428" s="31">
        <v>2.0783092497034011E-2</v>
      </c>
      <c r="H428" s="31">
        <v>0</v>
      </c>
      <c r="I428" s="31" t="s">
        <v>361</v>
      </c>
      <c r="J428" s="19">
        <f t="shared" si="26"/>
        <v>1.1618660608264549E-5</v>
      </c>
    </row>
    <row r="429" spans="1:10" x14ac:dyDescent="0.15">
      <c r="A429" s="31" t="s">
        <v>81</v>
      </c>
      <c r="B429" s="31" t="s">
        <v>923</v>
      </c>
      <c r="C429" s="31">
        <v>0.158</v>
      </c>
      <c r="D429" s="43" t="s">
        <v>85</v>
      </c>
      <c r="E429" s="31" t="s">
        <v>742</v>
      </c>
      <c r="F429" s="31">
        <v>9.1639999999999994E-4</v>
      </c>
      <c r="G429" s="31">
        <v>1.0981175889895636E-2</v>
      </c>
      <c r="H429" s="31">
        <v>16</v>
      </c>
      <c r="I429" s="31" t="s">
        <v>361</v>
      </c>
      <c r="J429" s="19">
        <f t="shared" si="26"/>
        <v>7.5678410945321001E-5</v>
      </c>
    </row>
    <row r="430" spans="1:10" x14ac:dyDescent="0.15">
      <c r="A430" s="31" t="s">
        <v>81</v>
      </c>
      <c r="B430" s="31" t="s">
        <v>923</v>
      </c>
      <c r="C430" s="31">
        <v>0.158</v>
      </c>
      <c r="D430" s="43" t="s">
        <v>4</v>
      </c>
      <c r="E430" s="31" t="s">
        <v>742</v>
      </c>
      <c r="F430" s="31">
        <v>2.8756000000000002E-4</v>
      </c>
      <c r="G430" s="31">
        <v>2.5175562852992262E-2</v>
      </c>
      <c r="H430" s="31">
        <v>0.44400000000000001</v>
      </c>
      <c r="I430" s="31" t="s">
        <v>361</v>
      </c>
      <c r="J430" s="19">
        <f t="shared" si="26"/>
        <v>1.0775325067263283E-5</v>
      </c>
    </row>
    <row r="431" spans="1:10" x14ac:dyDescent="0.15">
      <c r="A431" s="31" t="s">
        <v>81</v>
      </c>
      <c r="B431" s="31" t="s">
        <v>923</v>
      </c>
      <c r="C431" s="31">
        <v>0.158</v>
      </c>
      <c r="D431" s="43" t="s">
        <v>25</v>
      </c>
      <c r="E431" s="31" t="s">
        <v>742</v>
      </c>
      <c r="F431" s="31">
        <v>7.5840000000000006E-5</v>
      </c>
      <c r="G431" s="31">
        <v>1.0975766443644456E-2</v>
      </c>
      <c r="H431" s="31">
        <v>1.111</v>
      </c>
      <c r="I431" s="31" t="s">
        <v>361</v>
      </c>
      <c r="J431" s="19">
        <f t="shared" si="26"/>
        <v>6.5174236247409893E-6</v>
      </c>
    </row>
    <row r="432" spans="1:10" x14ac:dyDescent="0.15">
      <c r="A432" s="31" t="s">
        <v>81</v>
      </c>
      <c r="B432" s="31" t="s">
        <v>923</v>
      </c>
      <c r="C432" s="31">
        <v>0.158</v>
      </c>
      <c r="D432" s="43" t="s">
        <v>87</v>
      </c>
      <c r="E432" s="31" t="s">
        <v>742</v>
      </c>
      <c r="F432" s="31">
        <v>8.2476000000000001E-4</v>
      </c>
      <c r="G432" s="31">
        <v>1.5930819209725441E-2</v>
      </c>
      <c r="H432" s="31">
        <v>2.8889999999999998</v>
      </c>
      <c r="I432" s="31" t="s">
        <v>361</v>
      </c>
      <c r="J432" s="19">
        <f t="shared" si="26"/>
        <v>4.877882097244639E-5</v>
      </c>
    </row>
    <row r="433" spans="1:10" x14ac:dyDescent="0.15">
      <c r="A433" s="31" t="s">
        <v>81</v>
      </c>
      <c r="B433" s="31" t="s">
        <v>923</v>
      </c>
      <c r="C433" s="31">
        <v>0.158</v>
      </c>
      <c r="D433" s="43" t="s">
        <v>33</v>
      </c>
      <c r="E433" s="31" t="s">
        <v>742</v>
      </c>
      <c r="F433" s="31">
        <v>3.1283999999999999E-4</v>
      </c>
      <c r="G433" s="31">
        <v>2.2681808131198227E-2</v>
      </c>
      <c r="H433" s="31">
        <v>0</v>
      </c>
      <c r="I433" s="31" t="s">
        <v>361</v>
      </c>
      <c r="J433" s="19">
        <f t="shared" si="26"/>
        <v>1.3011840756458555E-5</v>
      </c>
    </row>
    <row r="434" spans="1:10" x14ac:dyDescent="0.15">
      <c r="A434" s="31" t="s">
        <v>81</v>
      </c>
      <c r="B434" s="31" t="s">
        <v>923</v>
      </c>
      <c r="C434" s="31">
        <v>0.158</v>
      </c>
      <c r="D434" s="43" t="s">
        <v>77</v>
      </c>
      <c r="E434" s="31" t="s">
        <v>742</v>
      </c>
      <c r="F434" s="31">
        <v>1.6589999999999999E-4</v>
      </c>
      <c r="G434" s="31">
        <v>2.3428311713861085E-2</v>
      </c>
      <c r="H434" s="31">
        <v>0.111</v>
      </c>
      <c r="I434" s="31" t="s">
        <v>361</v>
      </c>
      <c r="J434" s="19">
        <f t="shared" si="26"/>
        <v>6.6803422358787291E-6</v>
      </c>
    </row>
    <row r="435" spans="1:10" x14ac:dyDescent="0.15">
      <c r="A435" s="31" t="s">
        <v>81</v>
      </c>
      <c r="B435" s="31" t="s">
        <v>923</v>
      </c>
      <c r="C435" s="31">
        <v>0.158</v>
      </c>
      <c r="D435" s="43" t="s">
        <v>78</v>
      </c>
      <c r="E435" s="31" t="s">
        <v>742</v>
      </c>
      <c r="F435" s="31">
        <v>2.5280000000000002E-4</v>
      </c>
      <c r="G435" s="31">
        <v>2.2016446242303075E-2</v>
      </c>
      <c r="H435" s="31">
        <v>0.222</v>
      </c>
      <c r="I435" s="31" t="s">
        <v>361</v>
      </c>
      <c r="J435" s="19">
        <f t="shared" si="26"/>
        <v>1.0832301144965644E-5</v>
      </c>
    </row>
    <row r="436" spans="1:10" x14ac:dyDescent="0.15">
      <c r="A436" s="31" t="s">
        <v>81</v>
      </c>
      <c r="B436" s="31" t="s">
        <v>923</v>
      </c>
      <c r="C436" s="31">
        <v>0.158</v>
      </c>
      <c r="D436" s="43" t="s">
        <v>86</v>
      </c>
      <c r="E436" s="31" t="s">
        <v>742</v>
      </c>
      <c r="F436" s="31">
        <v>2.2277999999999998E-4</v>
      </c>
      <c r="G436" s="31">
        <v>1.94523687192437E-2</v>
      </c>
      <c r="H436" s="31">
        <v>0</v>
      </c>
      <c r="I436" s="31" t="s">
        <v>361</v>
      </c>
      <c r="J436" s="19">
        <f t="shared" si="26"/>
        <v>1.0804330020376356E-5</v>
      </c>
    </row>
    <row r="437" spans="1:10" x14ac:dyDescent="0.15">
      <c r="A437" s="31" t="s">
        <v>81</v>
      </c>
      <c r="B437" s="31" t="s">
        <v>923</v>
      </c>
      <c r="C437" s="31">
        <v>0.158</v>
      </c>
      <c r="D437" s="43" t="s">
        <v>80</v>
      </c>
      <c r="E437" s="31" t="s">
        <v>742</v>
      </c>
      <c r="F437" s="31">
        <v>7.2206000000000006E-4</v>
      </c>
      <c r="G437" s="31">
        <v>3.099071757301089E-2</v>
      </c>
      <c r="H437" s="31">
        <v>0</v>
      </c>
      <c r="I437" s="31" t="s">
        <v>361</v>
      </c>
      <c r="J437" s="19">
        <f t="shared" si="26"/>
        <v>2.1980410025694749E-5</v>
      </c>
    </row>
    <row r="438" spans="1:10" x14ac:dyDescent="0.15">
      <c r="A438" s="31" t="s">
        <v>81</v>
      </c>
      <c r="B438" s="31" t="s">
        <v>923</v>
      </c>
      <c r="C438" s="31">
        <v>0.158</v>
      </c>
      <c r="D438" s="43" t="s">
        <v>88</v>
      </c>
      <c r="E438" s="31" t="s">
        <v>742</v>
      </c>
      <c r="F438" s="31">
        <v>1.8643999999999998E-4</v>
      </c>
      <c r="G438" s="31">
        <v>2.754490031100915E-2</v>
      </c>
      <c r="H438" s="31">
        <v>0.33300000000000002</v>
      </c>
      <c r="I438" s="31" t="s">
        <v>361</v>
      </c>
      <c r="J438" s="19">
        <f t="shared" si="26"/>
        <v>6.3853497329755957E-6</v>
      </c>
    </row>
    <row r="439" spans="1:10" x14ac:dyDescent="0.15">
      <c r="A439" s="31" t="s">
        <v>81</v>
      </c>
      <c r="B439" s="31" t="s">
        <v>923</v>
      </c>
      <c r="C439" s="31">
        <v>0.26500000000000001</v>
      </c>
      <c r="D439" s="43" t="s">
        <v>48</v>
      </c>
      <c r="E439" s="31" t="s">
        <v>742</v>
      </c>
      <c r="F439" s="31">
        <v>3.8955000000000001E-4</v>
      </c>
      <c r="G439" s="31">
        <v>1.3366084764376679E-2</v>
      </c>
      <c r="H439" s="31">
        <v>0</v>
      </c>
      <c r="I439" s="31" t="s">
        <v>361</v>
      </c>
      <c r="J439" s="19">
        <f t="shared" si="26"/>
        <v>2.749496254725706E-5</v>
      </c>
    </row>
    <row r="440" spans="1:10" x14ac:dyDescent="0.15">
      <c r="A440" s="31" t="s">
        <v>81</v>
      </c>
      <c r="B440" s="31" t="s">
        <v>923</v>
      </c>
      <c r="C440" s="31">
        <v>0.158</v>
      </c>
      <c r="D440" s="43" t="s">
        <v>49</v>
      </c>
      <c r="E440" s="31" t="s">
        <v>742</v>
      </c>
      <c r="F440" s="31">
        <v>4.6294000000000005E-3</v>
      </c>
      <c r="G440" s="31">
        <v>2.8075026043624808E-2</v>
      </c>
      <c r="H440" s="31">
        <v>21.777999999999999</v>
      </c>
      <c r="I440" s="31" t="s">
        <v>361</v>
      </c>
      <c r="J440" s="19">
        <f t="shared" si="26"/>
        <v>1.4445767272637571E-4</v>
      </c>
    </row>
    <row r="441" spans="1:10" x14ac:dyDescent="0.15">
      <c r="A441" s="31" t="s">
        <v>81</v>
      </c>
      <c r="B441" s="31" t="s">
        <v>923</v>
      </c>
      <c r="C441" s="31">
        <v>0.158</v>
      </c>
      <c r="D441" s="43" t="s">
        <v>79</v>
      </c>
      <c r="E441" s="31" t="s">
        <v>743</v>
      </c>
      <c r="F441" s="31">
        <v>4.8189999999999995E-4</v>
      </c>
      <c r="G441" s="31">
        <v>1.6271614323549791E-2</v>
      </c>
      <c r="H441" s="31">
        <v>22.332999999999998</v>
      </c>
      <c r="I441" s="31" t="s">
        <v>361</v>
      </c>
      <c r="J441" s="19">
        <f t="shared" si="26"/>
        <v>2.5843892913197919E-5</v>
      </c>
    </row>
    <row r="442" spans="1:10" x14ac:dyDescent="0.15">
      <c r="A442" s="31" t="s">
        <v>81</v>
      </c>
      <c r="B442" s="31" t="s">
        <v>923</v>
      </c>
      <c r="C442" s="31">
        <v>0.26500000000000001</v>
      </c>
      <c r="D442" s="43" t="s">
        <v>6</v>
      </c>
      <c r="E442" s="31" t="s">
        <v>743</v>
      </c>
      <c r="F442" s="31">
        <v>6.0950000000000004E-5</v>
      </c>
      <c r="G442" s="31">
        <v>1.6399157845523694E-2</v>
      </c>
      <c r="H442" s="31">
        <v>0</v>
      </c>
      <c r="I442" s="31" t="s">
        <v>361</v>
      </c>
      <c r="J442" s="19">
        <f t="shared" si="26"/>
        <v>3.5062776114259534E-6</v>
      </c>
    </row>
    <row r="443" spans="1:10" x14ac:dyDescent="0.15">
      <c r="A443" s="31" t="s">
        <v>81</v>
      </c>
      <c r="B443" s="31" t="s">
        <v>923</v>
      </c>
      <c r="C443" s="31">
        <v>0.158</v>
      </c>
      <c r="D443" s="43" t="s">
        <v>8</v>
      </c>
      <c r="E443" s="31" t="s">
        <v>743</v>
      </c>
      <c r="F443" s="31">
        <v>2.2751999999999999E-4</v>
      </c>
      <c r="G443" s="31">
        <v>2.4791492169158477E-2</v>
      </c>
      <c r="H443" s="31">
        <v>0.111</v>
      </c>
      <c r="I443" s="31" t="s">
        <v>361</v>
      </c>
      <c r="J443" s="19">
        <f t="shared" si="26"/>
        <v>8.6578534754674542E-6</v>
      </c>
    </row>
    <row r="444" spans="1:10" x14ac:dyDescent="0.15">
      <c r="A444" s="31" t="s">
        <v>81</v>
      </c>
      <c r="B444" s="31" t="s">
        <v>923</v>
      </c>
      <c r="C444" s="31">
        <v>0.26500000000000001</v>
      </c>
      <c r="D444" s="43" t="s">
        <v>54</v>
      </c>
      <c r="E444" s="31" t="s">
        <v>743</v>
      </c>
      <c r="F444" s="31">
        <v>4.5050000000000005E-4</v>
      </c>
      <c r="G444" s="31">
        <v>2.5614045130194923E-2</v>
      </c>
      <c r="H444" s="31">
        <v>16.332999999999998</v>
      </c>
      <c r="I444" s="31" t="s">
        <v>361</v>
      </c>
      <c r="J444" s="19">
        <f t="shared" si="26"/>
        <v>1.5922845340631094E-5</v>
      </c>
    </row>
    <row r="445" spans="1:10" x14ac:dyDescent="0.15">
      <c r="A445" s="31" t="s">
        <v>81</v>
      </c>
      <c r="B445" s="31" t="s">
        <v>923</v>
      </c>
      <c r="C445" s="31">
        <v>0.158</v>
      </c>
      <c r="D445" s="43" t="s">
        <v>9</v>
      </c>
      <c r="E445" s="31" t="s">
        <v>743</v>
      </c>
      <c r="F445" s="31">
        <v>1.9275999999999999E-4</v>
      </c>
      <c r="G445" s="31">
        <v>1.5990323118488425E-2</v>
      </c>
      <c r="H445" s="31">
        <v>13.555999999999999</v>
      </c>
      <c r="I445" s="31" t="s">
        <v>361</v>
      </c>
      <c r="J445" s="19">
        <f t="shared" si="26"/>
        <v>1.1055622527908392E-5</v>
      </c>
    </row>
    <row r="446" spans="1:10" x14ac:dyDescent="0.15">
      <c r="A446" s="31" t="s">
        <v>81</v>
      </c>
      <c r="B446" s="31" t="s">
        <v>923</v>
      </c>
      <c r="C446" s="31">
        <v>0.158</v>
      </c>
      <c r="D446" s="43" t="s">
        <v>89</v>
      </c>
      <c r="E446" s="31" t="s">
        <v>743</v>
      </c>
      <c r="F446" s="31">
        <v>1.3745999999999997E-4</v>
      </c>
      <c r="G446" s="31">
        <v>1.6201291522284451E-2</v>
      </c>
      <c r="H446" s="31">
        <v>10.667</v>
      </c>
      <c r="I446" s="31" t="s">
        <v>361</v>
      </c>
      <c r="J446" s="19">
        <f t="shared" si="26"/>
        <v>7.8659366117734904E-6</v>
      </c>
    </row>
    <row r="447" spans="1:10" x14ac:dyDescent="0.15">
      <c r="A447" s="15" t="s">
        <v>76</v>
      </c>
      <c r="B447" s="15" t="s">
        <v>923</v>
      </c>
      <c r="C447" s="15">
        <v>2.6230000000000002</v>
      </c>
      <c r="D447" s="53" t="s">
        <v>82</v>
      </c>
      <c r="E447" s="15" t="s">
        <v>742</v>
      </c>
      <c r="F447" s="15">
        <v>3.3574400000000006E-3</v>
      </c>
      <c r="G447" s="15">
        <v>5.4677989925263522E-2</v>
      </c>
      <c r="H447" s="15">
        <v>1.5</v>
      </c>
      <c r="I447" s="15" t="s">
        <v>361</v>
      </c>
      <c r="J447" s="19">
        <f t="shared" ref="J447:J528" si="27">F447*COS(RADIANS(H447))/(1060*G447)</f>
        <v>5.790832551020351E-5</v>
      </c>
    </row>
    <row r="448" spans="1:10" x14ac:dyDescent="0.15">
      <c r="A448" s="15" t="s">
        <v>76</v>
      </c>
      <c r="B448" s="15" t="s">
        <v>923</v>
      </c>
      <c r="C448" s="15">
        <v>2.6230000000000002</v>
      </c>
      <c r="D448" s="53" t="s">
        <v>83</v>
      </c>
      <c r="E448" s="15" t="s">
        <v>742</v>
      </c>
      <c r="F448" s="15">
        <v>7.291940000000002E-3</v>
      </c>
      <c r="G448" s="15">
        <v>4.9907797158208263E-2</v>
      </c>
      <c r="H448" s="15">
        <v>0</v>
      </c>
      <c r="I448" s="15" t="s">
        <v>361</v>
      </c>
      <c r="J448" s="19">
        <f t="shared" si="27"/>
        <v>1.3783795460733684E-4</v>
      </c>
    </row>
    <row r="449" spans="1:10" x14ac:dyDescent="0.15">
      <c r="A449" s="15" t="s">
        <v>76</v>
      </c>
      <c r="B449" s="15" t="s">
        <v>923</v>
      </c>
      <c r="C449" s="15">
        <v>2.6230000000000002</v>
      </c>
      <c r="D449" s="53" t="s">
        <v>84</v>
      </c>
      <c r="E449" s="15" t="s">
        <v>742</v>
      </c>
      <c r="F449" s="15">
        <v>3.9607300000000008E-3</v>
      </c>
      <c r="G449" s="15">
        <v>4.8143101568083768E-2</v>
      </c>
      <c r="H449" s="15">
        <v>0</v>
      </c>
      <c r="I449" s="15" t="s">
        <v>361</v>
      </c>
      <c r="J449" s="19">
        <f t="shared" si="27"/>
        <v>7.7613149426296562E-5</v>
      </c>
    </row>
    <row r="450" spans="1:10" x14ac:dyDescent="0.15">
      <c r="A450" s="15" t="s">
        <v>76</v>
      </c>
      <c r="B450" s="15" t="s">
        <v>923</v>
      </c>
      <c r="C450" s="15">
        <v>2.6230000000000002</v>
      </c>
      <c r="D450" s="53" t="s">
        <v>85</v>
      </c>
      <c r="E450" s="15" t="s">
        <v>742</v>
      </c>
      <c r="F450" s="15">
        <v>2.9639900000000001E-3</v>
      </c>
      <c r="G450" s="15">
        <v>2.3975043993956953E-2</v>
      </c>
      <c r="H450" s="15">
        <v>24.167000000000002</v>
      </c>
      <c r="I450" s="15" t="s">
        <v>361</v>
      </c>
      <c r="J450" s="19">
        <f t="shared" si="27"/>
        <v>1.0640837691439401E-4</v>
      </c>
    </row>
    <row r="451" spans="1:10" x14ac:dyDescent="0.15">
      <c r="A451" s="15" t="s">
        <v>76</v>
      </c>
      <c r="B451" s="15" t="s">
        <v>923</v>
      </c>
      <c r="C451" s="15">
        <v>2.6230000000000002</v>
      </c>
      <c r="D451" s="53" t="s">
        <v>4</v>
      </c>
      <c r="E451" s="15" t="s">
        <v>742</v>
      </c>
      <c r="F451" s="15">
        <v>4.1443400000000007E-3</v>
      </c>
      <c r="G451" s="15">
        <v>5.7311246626152411E-2</v>
      </c>
      <c r="H451" s="15">
        <v>0.33300000000000002</v>
      </c>
      <c r="I451" s="15" t="s">
        <v>361</v>
      </c>
      <c r="J451" s="19">
        <f t="shared" si="27"/>
        <v>6.8218524531726488E-5</v>
      </c>
    </row>
    <row r="452" spans="1:10" x14ac:dyDescent="0.15">
      <c r="A452" s="15" t="s">
        <v>76</v>
      </c>
      <c r="B452" s="15" t="s">
        <v>923</v>
      </c>
      <c r="C452" s="15">
        <v>2.6230000000000002</v>
      </c>
      <c r="D452" s="53" t="s">
        <v>25</v>
      </c>
      <c r="E452" s="15" t="s">
        <v>742</v>
      </c>
      <c r="F452" s="15">
        <v>1.8098700000000003E-3</v>
      </c>
      <c r="G452" s="15">
        <v>3.478380448346946E-2</v>
      </c>
      <c r="H452" s="15">
        <v>0.41699999999999998</v>
      </c>
      <c r="I452" s="15" t="s">
        <v>361</v>
      </c>
      <c r="J452" s="19">
        <f t="shared" si="27"/>
        <v>4.9085467591676413E-5</v>
      </c>
    </row>
    <row r="453" spans="1:10" x14ac:dyDescent="0.15">
      <c r="A453" s="15" t="s">
        <v>76</v>
      </c>
      <c r="B453" s="15" t="s">
        <v>923</v>
      </c>
      <c r="C453" s="15">
        <v>2.6230000000000002</v>
      </c>
      <c r="D453" s="53" t="s">
        <v>87</v>
      </c>
      <c r="E453" s="15" t="s">
        <v>742</v>
      </c>
      <c r="F453" s="15">
        <v>8.2362200000000007E-3</v>
      </c>
      <c r="G453" s="15">
        <v>4.1056745838990105E-2</v>
      </c>
      <c r="H453" s="15">
        <v>0.83299999999999996</v>
      </c>
      <c r="I453" s="15" t="s">
        <v>361</v>
      </c>
      <c r="J453" s="19">
        <f t="shared" si="27"/>
        <v>1.892307231504274E-4</v>
      </c>
    </row>
    <row r="454" spans="1:10" x14ac:dyDescent="0.15">
      <c r="A454" s="15" t="s">
        <v>76</v>
      </c>
      <c r="B454" s="15" t="s">
        <v>923</v>
      </c>
      <c r="C454" s="15">
        <v>2.6230000000000002</v>
      </c>
      <c r="D454" s="53" t="s">
        <v>33</v>
      </c>
      <c r="E454" s="15" t="s">
        <v>742</v>
      </c>
      <c r="F454" s="15">
        <v>6.5312700000000005E-3</v>
      </c>
      <c r="G454" s="15">
        <v>5.7642127049300752E-2</v>
      </c>
      <c r="H454" s="15">
        <v>0</v>
      </c>
      <c r="I454" s="15" t="s">
        <v>361</v>
      </c>
      <c r="J454" s="19">
        <f t="shared" si="27"/>
        <v>1.0689361734392935E-4</v>
      </c>
    </row>
    <row r="455" spans="1:10" x14ac:dyDescent="0.15">
      <c r="A455" s="15" t="s">
        <v>76</v>
      </c>
      <c r="B455" s="15" t="s">
        <v>923</v>
      </c>
      <c r="C455" s="15">
        <v>2.6230000000000002</v>
      </c>
      <c r="D455" s="53" t="s">
        <v>77</v>
      </c>
      <c r="E455" s="15" t="s">
        <v>742</v>
      </c>
      <c r="F455" s="15">
        <v>3.5935100000000007E-3</v>
      </c>
      <c r="G455" s="15">
        <v>6.9029928279322847E-2</v>
      </c>
      <c r="H455" s="15">
        <v>0.25</v>
      </c>
      <c r="I455" s="15" t="s">
        <v>361</v>
      </c>
      <c r="J455" s="19">
        <f t="shared" si="27"/>
        <v>4.9110169845791439E-5</v>
      </c>
    </row>
    <row r="456" spans="1:10" x14ac:dyDescent="0.15">
      <c r="A456" s="15" t="s">
        <v>76</v>
      </c>
      <c r="B456" s="15" t="s">
        <v>923</v>
      </c>
      <c r="C456" s="15">
        <v>2.6230000000000002</v>
      </c>
      <c r="D456" s="53" t="s">
        <v>78</v>
      </c>
      <c r="E456" s="15" t="s">
        <v>742</v>
      </c>
      <c r="F456" s="15">
        <v>8.7870500000000011E-3</v>
      </c>
      <c r="G456" s="15">
        <v>6.7141152530517736E-2</v>
      </c>
      <c r="H456" s="15">
        <v>0.41699999999999998</v>
      </c>
      <c r="I456" s="15" t="s">
        <v>361</v>
      </c>
      <c r="J456" s="19">
        <f t="shared" si="27"/>
        <v>1.2346303197876041E-4</v>
      </c>
    </row>
    <row r="457" spans="1:10" x14ac:dyDescent="0.15">
      <c r="A457" s="15" t="s">
        <v>76</v>
      </c>
      <c r="B457" s="15" t="s">
        <v>923</v>
      </c>
      <c r="C457" s="15">
        <v>2.6230000000000002</v>
      </c>
      <c r="D457" s="53" t="s">
        <v>86</v>
      </c>
      <c r="E457" s="15" t="s">
        <v>742</v>
      </c>
      <c r="F457" s="15">
        <v>5.6656800000000002E-3</v>
      </c>
      <c r="G457" s="15">
        <v>4.549605818289703E-2</v>
      </c>
      <c r="H457" s="15">
        <v>0</v>
      </c>
      <c r="I457" s="15" t="s">
        <v>361</v>
      </c>
      <c r="J457" s="19">
        <f t="shared" si="27"/>
        <v>1.17482290676443E-4</v>
      </c>
    </row>
    <row r="458" spans="1:10" x14ac:dyDescent="0.15">
      <c r="A458" s="15" t="s">
        <v>76</v>
      </c>
      <c r="B458" s="15" t="s">
        <v>923</v>
      </c>
      <c r="C458" s="15">
        <v>2.6230000000000002</v>
      </c>
      <c r="D458" s="53" t="s">
        <v>80</v>
      </c>
      <c r="E458" s="15" t="s">
        <v>742</v>
      </c>
      <c r="F458" s="15">
        <v>1.235433E-2</v>
      </c>
      <c r="G458" s="15">
        <v>7.4847909053014541E-2</v>
      </c>
      <c r="H458" s="15">
        <v>0</v>
      </c>
      <c r="I458" s="15" t="s">
        <v>361</v>
      </c>
      <c r="J458" s="19">
        <f t="shared" si="27"/>
        <v>1.557161509165416E-4</v>
      </c>
    </row>
    <row r="459" spans="1:10" x14ac:dyDescent="0.15">
      <c r="A459" s="15" t="s">
        <v>76</v>
      </c>
      <c r="B459" s="15" t="s">
        <v>923</v>
      </c>
      <c r="C459" s="15">
        <v>2.6230000000000002</v>
      </c>
      <c r="D459" s="53" t="s">
        <v>88</v>
      </c>
      <c r="E459" s="15" t="s">
        <v>742</v>
      </c>
      <c r="F459" s="15">
        <v>6.1902799999999994E-3</v>
      </c>
      <c r="G459" s="15">
        <v>6.6286378104051177E-2</v>
      </c>
      <c r="H459" s="15">
        <v>0.20799999999999999</v>
      </c>
      <c r="I459" s="15" t="s">
        <v>361</v>
      </c>
      <c r="J459" s="19">
        <f t="shared" si="27"/>
        <v>8.810027757871201E-5</v>
      </c>
    </row>
    <row r="460" spans="1:10" x14ac:dyDescent="0.15">
      <c r="A460" s="15" t="s">
        <v>76</v>
      </c>
      <c r="B460" s="15" t="s">
        <v>923</v>
      </c>
      <c r="C460" s="15">
        <v>4.82</v>
      </c>
      <c r="D460" s="53" t="s">
        <v>48</v>
      </c>
      <c r="E460" s="15" t="s">
        <v>742</v>
      </c>
      <c r="F460" s="15">
        <v>1.8557000000000001E-2</v>
      </c>
      <c r="G460" s="15">
        <v>4.1600195081282751E-2</v>
      </c>
      <c r="H460" s="15">
        <v>0</v>
      </c>
      <c r="I460" s="15" t="s">
        <v>361</v>
      </c>
      <c r="J460" s="19">
        <f t="shared" si="27"/>
        <v>4.2082984801822916E-4</v>
      </c>
    </row>
    <row r="461" spans="1:10" x14ac:dyDescent="0.15">
      <c r="A461" s="15" t="s">
        <v>76</v>
      </c>
      <c r="B461" s="15" t="s">
        <v>923</v>
      </c>
      <c r="C461" s="15">
        <v>2.6230000000000002</v>
      </c>
      <c r="D461" s="53" t="s">
        <v>49</v>
      </c>
      <c r="E461" s="15" t="s">
        <v>742</v>
      </c>
      <c r="F461" s="15">
        <v>3.0872710000000005E-2</v>
      </c>
      <c r="G461" s="15">
        <v>5.1189958797908088E-2</v>
      </c>
      <c r="H461" s="15">
        <v>21.832999999999998</v>
      </c>
      <c r="I461" s="15" t="s">
        <v>361</v>
      </c>
      <c r="J461" s="19">
        <f t="shared" si="27"/>
        <v>5.2815239826552987E-4</v>
      </c>
    </row>
    <row r="462" spans="1:10" x14ac:dyDescent="0.15">
      <c r="A462" s="15" t="s">
        <v>76</v>
      </c>
      <c r="B462" s="15" t="s">
        <v>923</v>
      </c>
      <c r="C462" s="15">
        <v>2.6230000000000002</v>
      </c>
      <c r="D462" s="53" t="s">
        <v>79</v>
      </c>
      <c r="E462" s="15" t="s">
        <v>743</v>
      </c>
      <c r="F462" s="15">
        <v>7.4493199999999997E-3</v>
      </c>
      <c r="G462" s="15">
        <v>4.1360052893542755E-2</v>
      </c>
      <c r="H462" s="15">
        <v>26</v>
      </c>
      <c r="I462" s="15" t="s">
        <v>361</v>
      </c>
      <c r="J462" s="19">
        <f t="shared" si="27"/>
        <v>1.5271787303658174E-4</v>
      </c>
    </row>
    <row r="463" spans="1:10" x14ac:dyDescent="0.15">
      <c r="A463" s="15" t="s">
        <v>76</v>
      </c>
      <c r="B463" s="15" t="s">
        <v>923</v>
      </c>
      <c r="C463" s="15">
        <v>4.82</v>
      </c>
      <c r="D463" s="53" t="s">
        <v>6</v>
      </c>
      <c r="E463" s="15" t="s">
        <v>743</v>
      </c>
      <c r="F463" s="15">
        <v>5.3984000000000011E-3</v>
      </c>
      <c r="G463" s="15">
        <v>6.069508982029688E-2</v>
      </c>
      <c r="H463" s="15">
        <v>0</v>
      </c>
      <c r="I463" s="15" t="s">
        <v>361</v>
      </c>
      <c r="J463" s="19">
        <f t="shared" si="27"/>
        <v>8.3908438125025514E-5</v>
      </c>
    </row>
    <row r="464" spans="1:10" x14ac:dyDescent="0.15">
      <c r="A464" s="15" t="s">
        <v>76</v>
      </c>
      <c r="B464" s="15" t="s">
        <v>923</v>
      </c>
      <c r="C464" s="15">
        <v>2.6230000000000002</v>
      </c>
      <c r="D464" s="53" t="s">
        <v>8</v>
      </c>
      <c r="E464" s="15" t="s">
        <v>743</v>
      </c>
      <c r="F464" s="15">
        <v>2.8853000000000004E-3</v>
      </c>
      <c r="G464" s="15">
        <v>5.54638309302408E-2</v>
      </c>
      <c r="H464" s="15">
        <v>0.25</v>
      </c>
      <c r="I464" s="15" t="s">
        <v>361</v>
      </c>
      <c r="J464" s="19">
        <f t="shared" si="27"/>
        <v>4.9076220937577108E-5</v>
      </c>
    </row>
    <row r="465" spans="1:10" x14ac:dyDescent="0.15">
      <c r="A465" s="15" t="s">
        <v>76</v>
      </c>
      <c r="B465" s="15" t="s">
        <v>923</v>
      </c>
      <c r="C465" s="15">
        <v>4.8019999999999996</v>
      </c>
      <c r="D465" s="53" t="s">
        <v>54</v>
      </c>
      <c r="E465" s="15" t="s">
        <v>743</v>
      </c>
      <c r="F465" s="15">
        <v>3.4094199999999994E-3</v>
      </c>
      <c r="G465" s="15">
        <v>5.7432566151793256E-2</v>
      </c>
      <c r="H465" s="15">
        <v>9.6669999999999998</v>
      </c>
      <c r="I465" s="15" t="s">
        <v>361</v>
      </c>
      <c r="J465" s="19">
        <f t="shared" si="27"/>
        <v>5.5208428482345177E-5</v>
      </c>
    </row>
    <row r="466" spans="1:10" x14ac:dyDescent="0.15">
      <c r="A466" s="15" t="s">
        <v>76</v>
      </c>
      <c r="B466" s="15" t="s">
        <v>923</v>
      </c>
      <c r="C466" s="15">
        <v>2.6230000000000002</v>
      </c>
      <c r="D466" s="53" t="s">
        <v>9</v>
      </c>
      <c r="E466" s="15" t="s">
        <v>743</v>
      </c>
      <c r="F466" s="15">
        <v>2.6754599999999997E-3</v>
      </c>
      <c r="G466" s="15">
        <v>3.139228014619895E-2</v>
      </c>
      <c r="H466" s="15">
        <v>14.917</v>
      </c>
      <c r="I466" s="15" t="s">
        <v>361</v>
      </c>
      <c r="J466" s="19">
        <f t="shared" si="27"/>
        <v>7.7692947898053602E-5</v>
      </c>
    </row>
    <row r="467" spans="1:10" ht="15" x14ac:dyDescent="0.2">
      <c r="A467" s="34" t="s">
        <v>919</v>
      </c>
      <c r="B467" s="34" t="s">
        <v>923</v>
      </c>
      <c r="C467" s="34">
        <v>1.359</v>
      </c>
      <c r="D467" s="33" t="s">
        <v>82</v>
      </c>
      <c r="E467" s="34" t="s">
        <v>742</v>
      </c>
      <c r="F467" s="33">
        <v>3.2751E-3</v>
      </c>
      <c r="G467" s="33" t="s">
        <v>933</v>
      </c>
      <c r="H467" s="33" t="s">
        <v>961</v>
      </c>
      <c r="I467" s="34" t="s">
        <v>364</v>
      </c>
      <c r="J467" s="19">
        <v>8.9580723509345649E-5</v>
      </c>
    </row>
    <row r="468" spans="1:10" x14ac:dyDescent="0.15">
      <c r="A468" s="34" t="s">
        <v>919</v>
      </c>
      <c r="B468" s="34" t="s">
        <v>923</v>
      </c>
      <c r="C468" s="34">
        <v>1.359</v>
      </c>
      <c r="D468" s="33" t="s">
        <v>661</v>
      </c>
      <c r="E468" s="34" t="s">
        <v>742</v>
      </c>
      <c r="F468" s="33">
        <v>2.7484000000000002E-3</v>
      </c>
      <c r="G468" s="33" t="s">
        <v>927</v>
      </c>
      <c r="H468" s="33" t="s">
        <v>962</v>
      </c>
      <c r="I468" s="34" t="s">
        <v>364</v>
      </c>
      <c r="J468" s="19">
        <v>1.0266247943362714E-4</v>
      </c>
    </row>
    <row r="469" spans="1:10" x14ac:dyDescent="0.15">
      <c r="A469" s="34" t="s">
        <v>919</v>
      </c>
      <c r="B469" s="34" t="s">
        <v>923</v>
      </c>
      <c r="C469" s="34">
        <v>1.359</v>
      </c>
      <c r="D469" s="33" t="s">
        <v>662</v>
      </c>
      <c r="E469" s="34" t="s">
        <v>742</v>
      </c>
      <c r="F469" s="33">
        <v>2.5523999999999998E-3</v>
      </c>
      <c r="G469" s="33" t="s">
        <v>928</v>
      </c>
      <c r="H469" s="33">
        <v>0</v>
      </c>
      <c r="I469" s="34" t="s">
        <v>364</v>
      </c>
      <c r="J469" s="19">
        <v>1.0380327319489101E-4</v>
      </c>
    </row>
    <row r="470" spans="1:10" x14ac:dyDescent="0.15">
      <c r="A470" s="34" t="s">
        <v>919</v>
      </c>
      <c r="B470" s="34" t="s">
        <v>923</v>
      </c>
      <c r="C470" s="34">
        <v>1.359</v>
      </c>
      <c r="D470" s="33" t="s">
        <v>663</v>
      </c>
      <c r="E470" s="34" t="s">
        <v>742</v>
      </c>
      <c r="F470" s="33">
        <v>5.6100000000000008E-4</v>
      </c>
      <c r="G470" s="33" t="s">
        <v>929</v>
      </c>
      <c r="H470" s="33">
        <v>0</v>
      </c>
      <c r="I470" s="34" t="s">
        <v>364</v>
      </c>
      <c r="J470" s="19">
        <v>3.1353393543771806E-5</v>
      </c>
    </row>
    <row r="471" spans="1:10" x14ac:dyDescent="0.15">
      <c r="A471" s="34" t="s">
        <v>919</v>
      </c>
      <c r="B471" s="34" t="s">
        <v>923</v>
      </c>
      <c r="C471" s="34">
        <v>1.359</v>
      </c>
      <c r="D471" s="33" t="s">
        <v>664</v>
      </c>
      <c r="E471" s="34" t="s">
        <v>742</v>
      </c>
      <c r="F471" s="33">
        <v>7.718E-4</v>
      </c>
      <c r="G471" s="33" t="s">
        <v>934</v>
      </c>
      <c r="H471" s="33">
        <v>0</v>
      </c>
      <c r="I471" s="34" t="s">
        <v>364</v>
      </c>
      <c r="J471" s="19">
        <v>3.235853249415131E-5</v>
      </c>
    </row>
    <row r="472" spans="1:10" x14ac:dyDescent="0.15">
      <c r="A472" s="34" t="s">
        <v>919</v>
      </c>
      <c r="B472" s="34" t="s">
        <v>923</v>
      </c>
      <c r="C472" s="34">
        <v>1.359</v>
      </c>
      <c r="D472" s="33" t="s">
        <v>665</v>
      </c>
      <c r="E472" s="34" t="s">
        <v>742</v>
      </c>
      <c r="F472" s="33">
        <v>2.5392000000000001E-3</v>
      </c>
      <c r="G472" s="33" t="s">
        <v>935</v>
      </c>
      <c r="H472" s="33">
        <v>0</v>
      </c>
      <c r="I472" s="34" t="s">
        <v>364</v>
      </c>
      <c r="J472" s="19">
        <v>7.6261151025809826E-5</v>
      </c>
    </row>
    <row r="473" spans="1:10" x14ac:dyDescent="0.15">
      <c r="A473" s="34" t="s">
        <v>919</v>
      </c>
      <c r="B473" s="34" t="s">
        <v>923</v>
      </c>
      <c r="C473" s="34">
        <v>1.359</v>
      </c>
      <c r="D473" s="33" t="s">
        <v>667</v>
      </c>
      <c r="E473" s="34" t="s">
        <v>742</v>
      </c>
      <c r="F473" s="33">
        <v>2.6768E-3</v>
      </c>
      <c r="G473" s="33" t="s">
        <v>930</v>
      </c>
      <c r="H473" s="33">
        <v>0</v>
      </c>
      <c r="I473" s="34" t="s">
        <v>364</v>
      </c>
      <c r="J473" s="19">
        <v>6.1004542067107727E-5</v>
      </c>
    </row>
    <row r="474" spans="1:10" x14ac:dyDescent="0.15">
      <c r="A474" s="34" t="s">
        <v>919</v>
      </c>
      <c r="B474" s="34" t="s">
        <v>923</v>
      </c>
      <c r="C474" s="34">
        <v>1.359</v>
      </c>
      <c r="D474" s="33" t="s">
        <v>666</v>
      </c>
      <c r="E474" s="34" t="s">
        <v>742</v>
      </c>
      <c r="F474" s="33">
        <v>2.5314000000000001E-3</v>
      </c>
      <c r="G474" s="33" t="s">
        <v>936</v>
      </c>
      <c r="H474" s="33" t="s">
        <v>973</v>
      </c>
      <c r="I474" s="34" t="s">
        <v>364</v>
      </c>
      <c r="J474" s="19">
        <v>1.0593462556528735E-4</v>
      </c>
    </row>
    <row r="475" spans="1:10" x14ac:dyDescent="0.15">
      <c r="A475" s="34" t="s">
        <v>919</v>
      </c>
      <c r="B475" s="34" t="s">
        <v>923</v>
      </c>
      <c r="C475" s="34">
        <v>1.359</v>
      </c>
      <c r="D475" s="33" t="s">
        <v>668</v>
      </c>
      <c r="E475" s="34" t="s">
        <v>742</v>
      </c>
      <c r="F475" s="33">
        <v>3.9798000000000004E-3</v>
      </c>
      <c r="G475" s="33" t="s">
        <v>937</v>
      </c>
      <c r="H475" s="33" t="s">
        <v>972</v>
      </c>
      <c r="I475" s="34" t="s">
        <v>364</v>
      </c>
      <c r="J475" s="19">
        <v>1.7163985125005074E-4</v>
      </c>
    </row>
    <row r="476" spans="1:10" x14ac:dyDescent="0.15">
      <c r="A476" s="34" t="s">
        <v>919</v>
      </c>
      <c r="B476" s="34" t="s">
        <v>923</v>
      </c>
      <c r="C476" s="34">
        <v>1.359</v>
      </c>
      <c r="D476" s="33" t="s">
        <v>669</v>
      </c>
      <c r="E476" s="34" t="s">
        <v>742</v>
      </c>
      <c r="F476" s="33">
        <v>6.6350000000000003E-4</v>
      </c>
      <c r="G476" s="33" t="s">
        <v>938</v>
      </c>
      <c r="H476" s="33">
        <v>0</v>
      </c>
      <c r="I476" s="34" t="s">
        <v>364</v>
      </c>
      <c r="J476" s="19">
        <v>2.5014389089241896E-5</v>
      </c>
    </row>
    <row r="477" spans="1:10" x14ac:dyDescent="0.15">
      <c r="A477" s="34" t="s">
        <v>919</v>
      </c>
      <c r="B477" s="34" t="s">
        <v>923</v>
      </c>
      <c r="C477" s="34">
        <v>1.359</v>
      </c>
      <c r="D477" s="33" t="s">
        <v>670</v>
      </c>
      <c r="E477" s="34" t="s">
        <v>742</v>
      </c>
      <c r="F477" s="33">
        <v>2.9357000000000003E-3</v>
      </c>
      <c r="G477" s="33" t="s">
        <v>939</v>
      </c>
      <c r="H477" s="33">
        <v>0</v>
      </c>
      <c r="I477" s="34" t="s">
        <v>364</v>
      </c>
      <c r="J477" s="19">
        <v>6.4069408052531827E-5</v>
      </c>
    </row>
    <row r="478" spans="1:10" x14ac:dyDescent="0.15">
      <c r="A478" s="34" t="s">
        <v>919</v>
      </c>
      <c r="B478" s="34" t="s">
        <v>923</v>
      </c>
      <c r="C478" s="34">
        <v>1.359</v>
      </c>
      <c r="D478" s="33" t="s">
        <v>671</v>
      </c>
      <c r="E478" s="34" t="s">
        <v>742</v>
      </c>
      <c r="F478" s="33">
        <v>7.1309999999999993E-4</v>
      </c>
      <c r="G478" s="33" t="s">
        <v>940</v>
      </c>
      <c r="H478" s="33">
        <v>0</v>
      </c>
      <c r="I478" s="34" t="s">
        <v>364</v>
      </c>
      <c r="J478" s="19">
        <v>2.1751676443889149E-5</v>
      </c>
    </row>
    <row r="479" spans="1:10" x14ac:dyDescent="0.15">
      <c r="A479" s="34" t="s">
        <v>919</v>
      </c>
      <c r="B479" s="34" t="s">
        <v>923</v>
      </c>
      <c r="C479" s="34">
        <v>1.359</v>
      </c>
      <c r="D479" s="33" t="s">
        <v>672</v>
      </c>
      <c r="E479" s="34" t="s">
        <v>742</v>
      </c>
      <c r="F479" s="33">
        <v>5.9590000000000001E-4</v>
      </c>
      <c r="G479" s="33" t="s">
        <v>931</v>
      </c>
      <c r="H479" s="33">
        <v>0</v>
      </c>
      <c r="I479" s="34" t="s">
        <v>364</v>
      </c>
      <c r="J479" s="19">
        <v>2.241148984694446E-5</v>
      </c>
    </row>
    <row r="480" spans="1:10" x14ac:dyDescent="0.15">
      <c r="A480" s="34" t="s">
        <v>919</v>
      </c>
      <c r="B480" s="34" t="s">
        <v>923</v>
      </c>
      <c r="C480" s="34">
        <v>1.359</v>
      </c>
      <c r="D480" s="33" t="s">
        <v>673</v>
      </c>
      <c r="E480" s="34" t="s">
        <v>742</v>
      </c>
      <c r="F480" s="33">
        <v>2.3422999999999999E-3</v>
      </c>
      <c r="G480" s="33" t="s">
        <v>941</v>
      </c>
      <c r="H480" s="33">
        <v>0</v>
      </c>
      <c r="I480" s="34" t="s">
        <v>364</v>
      </c>
      <c r="J480" s="19">
        <v>4.7379421213734832E-5</v>
      </c>
    </row>
    <row r="481" spans="1:10" x14ac:dyDescent="0.15">
      <c r="A481" s="34" t="s">
        <v>919</v>
      </c>
      <c r="B481" s="34" t="s">
        <v>923</v>
      </c>
      <c r="C481" s="34">
        <v>1.359</v>
      </c>
      <c r="D481" s="33" t="s">
        <v>674</v>
      </c>
      <c r="E481" s="34" t="s">
        <v>742</v>
      </c>
      <c r="F481" s="33">
        <v>2.4950000000000003E-3</v>
      </c>
      <c r="G481" s="33" t="s">
        <v>942</v>
      </c>
      <c r="H481" s="33" t="s">
        <v>971</v>
      </c>
      <c r="I481" s="34" t="s">
        <v>364</v>
      </c>
      <c r="J481" s="19">
        <v>7.901298374229442E-5</v>
      </c>
    </row>
    <row r="482" spans="1:10" x14ac:dyDescent="0.15">
      <c r="A482" s="34" t="s">
        <v>919</v>
      </c>
      <c r="B482" s="34" t="s">
        <v>923</v>
      </c>
      <c r="C482" s="34">
        <v>1.359</v>
      </c>
      <c r="D482" s="33" t="s">
        <v>675</v>
      </c>
      <c r="E482" s="34" t="s">
        <v>742</v>
      </c>
      <c r="F482" s="33">
        <v>3.7543999999999998E-3</v>
      </c>
      <c r="G482" s="33" t="s">
        <v>943</v>
      </c>
      <c r="H482" s="33">
        <v>0</v>
      </c>
      <c r="I482" s="34" t="s">
        <v>364</v>
      </c>
      <c r="J482" s="19">
        <v>6.9601915174312607E-5</v>
      </c>
    </row>
    <row r="483" spans="1:10" x14ac:dyDescent="0.15">
      <c r="A483" s="34" t="s">
        <v>919</v>
      </c>
      <c r="B483" s="34" t="s">
        <v>923</v>
      </c>
      <c r="C483" s="34">
        <v>1.359</v>
      </c>
      <c r="D483" s="33" t="s">
        <v>676</v>
      </c>
      <c r="E483" s="34" t="s">
        <v>742</v>
      </c>
      <c r="F483" s="33">
        <v>1.7327E-3</v>
      </c>
      <c r="G483" s="33" t="s">
        <v>944</v>
      </c>
      <c r="H483" s="33">
        <v>0</v>
      </c>
      <c r="I483" s="34" t="s">
        <v>364</v>
      </c>
      <c r="J483" s="19">
        <v>4.1566254320397595E-5</v>
      </c>
    </row>
    <row r="484" spans="1:10" x14ac:dyDescent="0.15">
      <c r="A484" s="34" t="s">
        <v>919</v>
      </c>
      <c r="B484" s="34" t="s">
        <v>923</v>
      </c>
      <c r="C484" s="34">
        <v>1.359</v>
      </c>
      <c r="D484" s="33" t="s">
        <v>86</v>
      </c>
      <c r="E484" s="34" t="s">
        <v>742</v>
      </c>
      <c r="F484" s="33">
        <v>1.4576000000000001E-3</v>
      </c>
      <c r="G484" s="33" t="s">
        <v>945</v>
      </c>
      <c r="H484" s="33">
        <v>0</v>
      </c>
      <c r="I484" s="34" t="s">
        <v>364</v>
      </c>
      <c r="J484" s="19">
        <v>4.0785832407612088E-5</v>
      </c>
    </row>
    <row r="485" spans="1:10" x14ac:dyDescent="0.15">
      <c r="A485" s="34" t="s">
        <v>919</v>
      </c>
      <c r="B485" s="34" t="s">
        <v>923</v>
      </c>
      <c r="C485" s="34">
        <v>1.359</v>
      </c>
      <c r="D485" s="33" t="s">
        <v>677</v>
      </c>
      <c r="E485" s="34" t="s">
        <v>742</v>
      </c>
      <c r="F485" s="33">
        <v>3.4649999999999997E-4</v>
      </c>
      <c r="G485" s="33" t="s">
        <v>946</v>
      </c>
      <c r="H485" s="33">
        <v>0</v>
      </c>
      <c r="I485" s="34" t="s">
        <v>364</v>
      </c>
      <c r="J485" s="19">
        <v>3.3065627397615844E-5</v>
      </c>
    </row>
    <row r="486" spans="1:10" x14ac:dyDescent="0.15">
      <c r="A486" s="34" t="s">
        <v>919</v>
      </c>
      <c r="B486" s="34" t="s">
        <v>923</v>
      </c>
      <c r="C486" s="34">
        <v>1.359</v>
      </c>
      <c r="D486" s="33" t="s">
        <v>679</v>
      </c>
      <c r="E486" s="34" t="s">
        <v>742</v>
      </c>
      <c r="F486" s="33">
        <v>6.1163999999999993E-3</v>
      </c>
      <c r="G486" s="33" t="s">
        <v>947</v>
      </c>
      <c r="H486" s="33" t="s">
        <v>970</v>
      </c>
      <c r="I486" s="34" t="s">
        <v>364</v>
      </c>
      <c r="J486" s="19">
        <v>2.6110095918999382E-4</v>
      </c>
    </row>
    <row r="487" spans="1:10" x14ac:dyDescent="0.15">
      <c r="A487" s="34" t="s">
        <v>919</v>
      </c>
      <c r="B487" s="34" t="s">
        <v>923</v>
      </c>
      <c r="C487" s="34">
        <v>1.359</v>
      </c>
      <c r="D487" s="33" t="s">
        <v>678</v>
      </c>
      <c r="E487" s="34" t="s">
        <v>742</v>
      </c>
      <c r="F487" s="33">
        <v>1.4537699999999999E-2</v>
      </c>
      <c r="G487" s="33" t="s">
        <v>948</v>
      </c>
      <c r="H487" s="33" t="s">
        <v>969</v>
      </c>
      <c r="I487" s="34" t="s">
        <v>364</v>
      </c>
      <c r="J487" s="19">
        <v>4.4291778783639896E-4</v>
      </c>
    </row>
    <row r="488" spans="1:10" x14ac:dyDescent="0.15">
      <c r="A488" s="34" t="s">
        <v>919</v>
      </c>
      <c r="B488" s="34" t="s">
        <v>923</v>
      </c>
      <c r="C488" s="34">
        <v>1.359</v>
      </c>
      <c r="D488" s="33" t="s">
        <v>680</v>
      </c>
      <c r="E488" s="34" t="s">
        <v>743</v>
      </c>
      <c r="F488" s="33">
        <v>4.6478999999999999E-3</v>
      </c>
      <c r="G488" s="33" t="s">
        <v>949</v>
      </c>
      <c r="H488" s="33" t="s">
        <v>968</v>
      </c>
      <c r="I488" s="34" t="s">
        <v>364</v>
      </c>
      <c r="J488" s="19">
        <v>2.0406590520252762E-4</v>
      </c>
    </row>
    <row r="489" spans="1:10" x14ac:dyDescent="0.15">
      <c r="A489" s="34" t="s">
        <v>919</v>
      </c>
      <c r="B489" s="34" t="s">
        <v>923</v>
      </c>
      <c r="C489" s="34">
        <v>1.359</v>
      </c>
      <c r="D489" s="33" t="s">
        <v>681</v>
      </c>
      <c r="E489" s="34" t="s">
        <v>743</v>
      </c>
      <c r="F489" s="33">
        <v>2.6735999999999999E-3</v>
      </c>
      <c r="G489" s="33" t="s">
        <v>950</v>
      </c>
      <c r="H489" s="33" t="s">
        <v>967</v>
      </c>
      <c r="I489" s="34" t="s">
        <v>364</v>
      </c>
      <c r="J489" s="19">
        <v>9.380023243260218E-5</v>
      </c>
    </row>
    <row r="490" spans="1:10" x14ac:dyDescent="0.15">
      <c r="A490" s="34" t="s">
        <v>919</v>
      </c>
      <c r="B490" s="34" t="s">
        <v>923</v>
      </c>
      <c r="C490" s="34">
        <v>1.359</v>
      </c>
      <c r="D490" s="33" t="s">
        <v>128</v>
      </c>
      <c r="E490" s="34" t="s">
        <v>743</v>
      </c>
      <c r="F490" s="33">
        <v>2.4548999999999999E-3</v>
      </c>
      <c r="G490" s="33" t="s">
        <v>951</v>
      </c>
      <c r="H490" s="33" t="s">
        <v>966</v>
      </c>
      <c r="I490" s="34" t="s">
        <v>364</v>
      </c>
      <c r="J490" s="19">
        <v>1.081622069116439E-4</v>
      </c>
    </row>
    <row r="491" spans="1:10" x14ac:dyDescent="0.15">
      <c r="A491" s="34" t="s">
        <v>919</v>
      </c>
      <c r="B491" s="34" t="s">
        <v>923</v>
      </c>
      <c r="C491" s="34">
        <v>1.359</v>
      </c>
      <c r="D491" s="33" t="s">
        <v>144</v>
      </c>
      <c r="E491" s="34" t="s">
        <v>743</v>
      </c>
      <c r="F491" s="33">
        <v>1.5965E-3</v>
      </c>
      <c r="G491" s="33" t="s">
        <v>952</v>
      </c>
      <c r="H491" s="33" t="s">
        <v>963</v>
      </c>
      <c r="I491" s="34" t="s">
        <v>364</v>
      </c>
      <c r="J491" s="19">
        <v>4.4829197340823438E-5</v>
      </c>
    </row>
    <row r="492" spans="1:10" x14ac:dyDescent="0.15">
      <c r="A492" s="34" t="s">
        <v>919</v>
      </c>
      <c r="B492" s="34" t="s">
        <v>923</v>
      </c>
      <c r="C492" s="34">
        <v>1.359</v>
      </c>
      <c r="D492" s="33" t="s">
        <v>130</v>
      </c>
      <c r="E492" s="34" t="s">
        <v>743</v>
      </c>
      <c r="F492" s="33">
        <v>1.3028E-3</v>
      </c>
      <c r="G492" s="33" t="s">
        <v>953</v>
      </c>
      <c r="H492" s="33">
        <v>0</v>
      </c>
      <c r="I492" s="34" t="s">
        <v>364</v>
      </c>
      <c r="J492" s="19">
        <v>3.5728389644580958E-5</v>
      </c>
    </row>
    <row r="493" spans="1:10" x14ac:dyDescent="0.15">
      <c r="A493" s="34" t="s">
        <v>919</v>
      </c>
      <c r="B493" s="34" t="s">
        <v>923</v>
      </c>
      <c r="C493" s="34">
        <v>1.359</v>
      </c>
      <c r="D493" s="33" t="s">
        <v>682</v>
      </c>
      <c r="E493" s="34" t="s">
        <v>743</v>
      </c>
      <c r="F493" s="33">
        <v>4.1679999999999999E-4</v>
      </c>
      <c r="G493" s="33" t="s">
        <v>954</v>
      </c>
      <c r="H493" s="33">
        <v>0</v>
      </c>
      <c r="I493" s="34" t="s">
        <v>364</v>
      </c>
      <c r="J493" s="19">
        <v>2.2065518920864835E-5</v>
      </c>
    </row>
    <row r="494" spans="1:10" x14ac:dyDescent="0.15">
      <c r="A494" s="34" t="s">
        <v>919</v>
      </c>
      <c r="B494" s="34" t="s">
        <v>923</v>
      </c>
      <c r="C494" s="34">
        <v>1.359</v>
      </c>
      <c r="D494" s="33" t="s">
        <v>145</v>
      </c>
      <c r="E494" s="34" t="s">
        <v>743</v>
      </c>
      <c r="F494" s="33">
        <v>1.109E-4</v>
      </c>
      <c r="G494" s="33" t="s">
        <v>955</v>
      </c>
      <c r="H494" s="33">
        <v>0</v>
      </c>
      <c r="I494" s="34" t="s">
        <v>364</v>
      </c>
      <c r="J494" s="19">
        <v>5.0154669946996145E-6</v>
      </c>
    </row>
    <row r="495" spans="1:10" x14ac:dyDescent="0.15">
      <c r="A495" s="34" t="s">
        <v>919</v>
      </c>
      <c r="B495" s="34" t="s">
        <v>923</v>
      </c>
      <c r="C495" s="34">
        <v>1.359</v>
      </c>
      <c r="D495" s="33" t="s">
        <v>109</v>
      </c>
      <c r="E495" s="34" t="s">
        <v>743</v>
      </c>
      <c r="F495" s="33">
        <v>1.5680000000000002E-3</v>
      </c>
      <c r="G495" s="33" t="s">
        <v>956</v>
      </c>
      <c r="H495" s="33" t="s">
        <v>965</v>
      </c>
      <c r="I495" s="34" t="s">
        <v>364</v>
      </c>
      <c r="J495" s="19">
        <v>6.5423151284057371E-5</v>
      </c>
    </row>
    <row r="496" spans="1:10" x14ac:dyDescent="0.15">
      <c r="A496" s="34" t="s">
        <v>919</v>
      </c>
      <c r="B496" s="34" t="s">
        <v>923</v>
      </c>
      <c r="C496" s="34">
        <v>1.359</v>
      </c>
      <c r="D496" s="33" t="s">
        <v>149</v>
      </c>
      <c r="E496" s="34" t="s">
        <v>743</v>
      </c>
      <c r="F496" s="33">
        <v>1.8385000000000001E-3</v>
      </c>
      <c r="G496" s="33" t="s">
        <v>957</v>
      </c>
      <c r="H496" s="33" t="s">
        <v>964</v>
      </c>
      <c r="I496" s="34" t="s">
        <v>364</v>
      </c>
      <c r="J496" s="19">
        <v>8.7674333841121645E-5</v>
      </c>
    </row>
    <row r="497" spans="1:10" x14ac:dyDescent="0.15">
      <c r="A497" s="34" t="s">
        <v>919</v>
      </c>
      <c r="B497" s="34" t="s">
        <v>923</v>
      </c>
      <c r="C497" s="34">
        <v>1.359</v>
      </c>
      <c r="D497" s="33" t="s">
        <v>683</v>
      </c>
      <c r="E497" s="34" t="s">
        <v>743</v>
      </c>
      <c r="F497" s="33">
        <v>5.2290000000000008E-4</v>
      </c>
      <c r="G497" s="33" t="s">
        <v>958</v>
      </c>
      <c r="H497" s="33">
        <v>0</v>
      </c>
      <c r="I497" s="34" t="s">
        <v>364</v>
      </c>
      <c r="J497" s="19">
        <v>2.5658061312413026E-5</v>
      </c>
    </row>
    <row r="498" spans="1:10" x14ac:dyDescent="0.15">
      <c r="A498" s="34" t="s">
        <v>919</v>
      </c>
      <c r="B498" s="34" t="s">
        <v>923</v>
      </c>
      <c r="C498" s="34">
        <v>1.359</v>
      </c>
      <c r="D498" s="33" t="s">
        <v>143</v>
      </c>
      <c r="E498" s="34" t="s">
        <v>743</v>
      </c>
      <c r="F498" s="33">
        <v>4.8129999999999999E-4</v>
      </c>
      <c r="G498" s="33" t="s">
        <v>959</v>
      </c>
      <c r="H498" s="33">
        <v>0</v>
      </c>
      <c r="I498" s="34" t="s">
        <v>364</v>
      </c>
      <c r="J498" s="19">
        <v>3.9899525814902008E-5</v>
      </c>
    </row>
    <row r="499" spans="1:10" x14ac:dyDescent="0.15">
      <c r="A499" s="34" t="s">
        <v>919</v>
      </c>
      <c r="B499" s="34" t="s">
        <v>923</v>
      </c>
      <c r="C499" s="34">
        <v>1.359</v>
      </c>
      <c r="D499" s="33" t="s">
        <v>684</v>
      </c>
      <c r="E499" s="34" t="s">
        <v>743</v>
      </c>
      <c r="F499" s="33">
        <v>2.652E-4</v>
      </c>
      <c r="G499" s="33" t="s">
        <v>960</v>
      </c>
      <c r="H499" s="33">
        <v>0</v>
      </c>
      <c r="I499" s="34" t="s">
        <v>364</v>
      </c>
      <c r="J499" s="19">
        <v>4.090278134577364E-5</v>
      </c>
    </row>
    <row r="500" spans="1:10" x14ac:dyDescent="0.15">
      <c r="A500" s="34" t="s">
        <v>919</v>
      </c>
      <c r="B500" s="34" t="s">
        <v>923</v>
      </c>
      <c r="C500" s="34">
        <v>1.359</v>
      </c>
      <c r="D500" s="33" t="s">
        <v>685</v>
      </c>
      <c r="E500" s="34" t="s">
        <v>743</v>
      </c>
      <c r="F500" s="33">
        <v>6.3399999999999996E-5</v>
      </c>
      <c r="G500" s="33" t="s">
        <v>932</v>
      </c>
      <c r="H500" s="33">
        <v>0</v>
      </c>
      <c r="I500" s="34" t="s">
        <v>364</v>
      </c>
      <c r="J500" s="19">
        <v>7.1203953279424962E-6</v>
      </c>
    </row>
    <row r="501" spans="1:10" x14ac:dyDescent="0.15">
      <c r="A501" s="25" t="s">
        <v>881</v>
      </c>
      <c r="B501" s="25" t="s">
        <v>923</v>
      </c>
      <c r="C501" s="25">
        <v>5.11E-2</v>
      </c>
      <c r="D501" s="24" t="s">
        <v>890</v>
      </c>
      <c r="E501" s="25" t="s">
        <v>742</v>
      </c>
      <c r="F501" s="24">
        <v>1.1147300000000001E-4</v>
      </c>
      <c r="G501" s="24">
        <v>2.0615480000000002E-2</v>
      </c>
      <c r="H501" s="24">
        <v>14.48</v>
      </c>
      <c r="I501" s="25" t="s">
        <v>882</v>
      </c>
      <c r="J501" s="19">
        <f t="shared" ref="J501:J517" si="28">F501*COS(RADIANS(H501))/(1060*G501)</f>
        <v>4.9391377842770803E-6</v>
      </c>
    </row>
    <row r="502" spans="1:10" x14ac:dyDescent="0.15">
      <c r="A502" s="25" t="s">
        <v>881</v>
      </c>
      <c r="B502" s="25" t="s">
        <v>923</v>
      </c>
      <c r="C502" s="25">
        <v>5.11E-2</v>
      </c>
      <c r="D502" s="24" t="s">
        <v>891</v>
      </c>
      <c r="E502" s="25" t="s">
        <v>742</v>
      </c>
      <c r="F502" s="24">
        <v>1.5810099999999998E-4</v>
      </c>
      <c r="G502" s="24">
        <v>1.1756550000000001E-2</v>
      </c>
      <c r="H502" s="24">
        <v>0</v>
      </c>
      <c r="I502" s="25" t="s">
        <v>882</v>
      </c>
      <c r="J502" s="19">
        <f t="shared" si="28"/>
        <v>1.2686705435901927E-5</v>
      </c>
    </row>
    <row r="503" spans="1:10" x14ac:dyDescent="0.15">
      <c r="A503" s="25" t="s">
        <v>881</v>
      </c>
      <c r="B503" s="25" t="s">
        <v>923</v>
      </c>
      <c r="C503" s="25">
        <v>5.11E-2</v>
      </c>
      <c r="D503" s="24" t="s">
        <v>892</v>
      </c>
      <c r="E503" s="25" t="s">
        <v>742</v>
      </c>
      <c r="F503" s="24">
        <v>1.15543E-4</v>
      </c>
      <c r="G503" s="24">
        <v>6.6516849999999992E-3</v>
      </c>
      <c r="H503" s="24">
        <v>0</v>
      </c>
      <c r="I503" s="25" t="s">
        <v>882</v>
      </c>
      <c r="J503" s="19">
        <f t="shared" si="28"/>
        <v>1.6387250777611877E-5</v>
      </c>
    </row>
    <row r="504" spans="1:10" x14ac:dyDescent="0.15">
      <c r="A504" s="25" t="s">
        <v>881</v>
      </c>
      <c r="B504" s="25" t="s">
        <v>923</v>
      </c>
      <c r="C504" s="25">
        <v>5.11E-2</v>
      </c>
      <c r="D504" s="24" t="s">
        <v>883</v>
      </c>
      <c r="E504" s="25" t="s">
        <v>742</v>
      </c>
      <c r="F504" s="24">
        <v>3.9558099999999999E-4</v>
      </c>
      <c r="G504" s="24">
        <v>1.1329589999999999E-2</v>
      </c>
      <c r="H504" s="24">
        <v>14.481109999999999</v>
      </c>
      <c r="I504" s="25" t="s">
        <v>882</v>
      </c>
      <c r="J504" s="19">
        <f t="shared" ref="J504:J516" si="29">F504*COS(RADIANS(H504))/(1060*G504)</f>
        <v>3.1892896315328401E-5</v>
      </c>
    </row>
    <row r="505" spans="1:10" x14ac:dyDescent="0.15">
      <c r="A505" s="25" t="s">
        <v>881</v>
      </c>
      <c r="B505" s="25" t="s">
        <v>923</v>
      </c>
      <c r="C505" s="25">
        <v>5.11E-2</v>
      </c>
      <c r="D505" s="24" t="s">
        <v>896</v>
      </c>
      <c r="E505" s="25" t="s">
        <v>742</v>
      </c>
      <c r="F505" s="24">
        <v>1.73062E-4</v>
      </c>
      <c r="G505" s="24">
        <v>2.9885140000000001E-2</v>
      </c>
      <c r="H505" s="24">
        <v>0</v>
      </c>
      <c r="I505" s="25" t="s">
        <v>882</v>
      </c>
      <c r="J505" s="19">
        <f t="shared" si="29"/>
        <v>5.4631177145514141E-6</v>
      </c>
    </row>
    <row r="506" spans="1:10" x14ac:dyDescent="0.15">
      <c r="A506" s="25" t="s">
        <v>881</v>
      </c>
      <c r="B506" s="25" t="s">
        <v>923</v>
      </c>
      <c r="C506" s="25">
        <v>5.11E-2</v>
      </c>
      <c r="D506" s="24" t="s">
        <v>897</v>
      </c>
      <c r="E506" s="25" t="s">
        <v>742</v>
      </c>
      <c r="F506" s="24">
        <v>7.0309999999999996E-5</v>
      </c>
      <c r="G506" s="24">
        <v>1.6199750000000002E-2</v>
      </c>
      <c r="H506" s="24">
        <v>0</v>
      </c>
      <c r="I506" s="25" t="s">
        <v>882</v>
      </c>
      <c r="J506" s="19">
        <f t="shared" si="29"/>
        <v>4.094519278337337E-6</v>
      </c>
    </row>
    <row r="507" spans="1:10" x14ac:dyDescent="0.15">
      <c r="A507" s="25" t="s">
        <v>881</v>
      </c>
      <c r="B507" s="25" t="s">
        <v>923</v>
      </c>
      <c r="C507" s="25">
        <v>5.11E-2</v>
      </c>
      <c r="D507" s="24" t="s">
        <v>884</v>
      </c>
      <c r="E507" s="25" t="s">
        <v>742</v>
      </c>
      <c r="F507" s="24">
        <v>4.1318E-5</v>
      </c>
      <c r="G507" s="24">
        <v>1.0327090000000001E-2</v>
      </c>
      <c r="H507" s="24">
        <v>0</v>
      </c>
      <c r="I507" s="25" t="s">
        <v>882</v>
      </c>
      <c r="J507" s="19">
        <f t="shared" si="29"/>
        <v>3.7744655351138476E-6</v>
      </c>
    </row>
    <row r="508" spans="1:10" x14ac:dyDescent="0.15">
      <c r="A508" s="25" t="s">
        <v>881</v>
      </c>
      <c r="B508" s="25" t="s">
        <v>923</v>
      </c>
      <c r="C508" s="25">
        <v>5.11E-2</v>
      </c>
      <c r="D508" s="24" t="s">
        <v>885</v>
      </c>
      <c r="E508" s="25" t="s">
        <v>742</v>
      </c>
      <c r="F508" s="24">
        <v>8.2674000000000002E-5</v>
      </c>
      <c r="G508" s="24">
        <v>2.4710360000000001E-2</v>
      </c>
      <c r="H508" s="24">
        <v>0</v>
      </c>
      <c r="I508" s="25" t="s">
        <v>882</v>
      </c>
      <c r="J508" s="19">
        <f t="shared" si="29"/>
        <v>3.1563416972735935E-6</v>
      </c>
    </row>
    <row r="509" spans="1:10" x14ac:dyDescent="0.15">
      <c r="A509" s="25" t="s">
        <v>881</v>
      </c>
      <c r="B509" s="25" t="s">
        <v>923</v>
      </c>
      <c r="C509" s="25">
        <v>5.11E-2</v>
      </c>
      <c r="D509" s="24" t="s">
        <v>886</v>
      </c>
      <c r="E509" s="25" t="s">
        <v>742</v>
      </c>
      <c r="F509" s="24">
        <v>6.4728999999999996E-5</v>
      </c>
      <c r="G509" s="24">
        <v>2.2775279999999998E-2</v>
      </c>
      <c r="H509" s="24">
        <v>0</v>
      </c>
      <c r="I509" s="25" t="s">
        <v>882</v>
      </c>
      <c r="J509" s="19">
        <f t="shared" si="29"/>
        <v>2.6812005972977124E-6</v>
      </c>
    </row>
    <row r="510" spans="1:10" x14ac:dyDescent="0.15">
      <c r="A510" s="25" t="s">
        <v>881</v>
      </c>
      <c r="B510" s="25" t="s">
        <v>923</v>
      </c>
      <c r="C510" s="25">
        <v>5.11E-2</v>
      </c>
      <c r="D510" s="24" t="s">
        <v>887</v>
      </c>
      <c r="E510" s="25" t="s">
        <v>742</v>
      </c>
      <c r="F510" s="24">
        <v>1.0019400000000001E-4</v>
      </c>
      <c r="G510" s="24">
        <v>1.6480649999999999E-2</v>
      </c>
      <c r="H510" s="24">
        <v>0</v>
      </c>
      <c r="I510" s="25" t="s">
        <v>882</v>
      </c>
      <c r="J510" s="19">
        <f t="shared" si="29"/>
        <v>5.7353709659166343E-6</v>
      </c>
    </row>
    <row r="511" spans="1:10" x14ac:dyDescent="0.15">
      <c r="A511" s="25" t="s">
        <v>881</v>
      </c>
      <c r="B511" s="25" t="s">
        <v>923</v>
      </c>
      <c r="C511" s="25">
        <v>5.11E-2</v>
      </c>
      <c r="D511" s="24" t="s">
        <v>888</v>
      </c>
      <c r="E511" s="25" t="s">
        <v>742</v>
      </c>
      <c r="F511" s="24">
        <v>7.7791000000000001E-5</v>
      </c>
      <c r="G511" s="24">
        <v>1.8476900000000001E-2</v>
      </c>
      <c r="H511" s="24">
        <v>0</v>
      </c>
      <c r="I511" s="25" t="s">
        <v>882</v>
      </c>
      <c r="J511" s="19">
        <f t="shared" si="29"/>
        <v>3.9718641032346662E-6</v>
      </c>
    </row>
    <row r="512" spans="1:10" x14ac:dyDescent="0.15">
      <c r="A512" s="25" t="s">
        <v>881</v>
      </c>
      <c r="B512" s="25" t="s">
        <v>923</v>
      </c>
      <c r="C512" s="25">
        <v>5.11E-2</v>
      </c>
      <c r="D512" s="24" t="s">
        <v>889</v>
      </c>
      <c r="E512" s="25" t="s">
        <v>742</v>
      </c>
      <c r="F512" s="24">
        <v>1.9127900000000001E-4</v>
      </c>
      <c r="G512" s="24">
        <v>2.0923850000000001E-2</v>
      </c>
      <c r="H512" s="24">
        <v>0</v>
      </c>
      <c r="I512" s="25" t="s">
        <v>882</v>
      </c>
      <c r="J512" s="19">
        <f t="shared" si="29"/>
        <v>8.624220054743886E-6</v>
      </c>
    </row>
    <row r="513" spans="1:10" x14ac:dyDescent="0.15">
      <c r="A513" s="25" t="s">
        <v>881</v>
      </c>
      <c r="B513" s="25" t="s">
        <v>923</v>
      </c>
      <c r="C513" s="25">
        <v>5.11E-2</v>
      </c>
      <c r="D513" s="24" t="s">
        <v>893</v>
      </c>
      <c r="E513" s="25" t="s">
        <v>742</v>
      </c>
      <c r="F513" s="24">
        <v>5.7786800000000004E-4</v>
      </c>
      <c r="G513" s="24">
        <v>3.4353309999999998E-2</v>
      </c>
      <c r="H513" s="24">
        <v>16.225560000000002</v>
      </c>
      <c r="I513" s="25" t="s">
        <v>882</v>
      </c>
      <c r="J513" s="19">
        <f t="shared" si="29"/>
        <v>1.5237086436757772E-5</v>
      </c>
    </row>
    <row r="514" spans="1:10" x14ac:dyDescent="0.15">
      <c r="A514" s="25" t="s">
        <v>881</v>
      </c>
      <c r="B514" s="25" t="s">
        <v>923</v>
      </c>
      <c r="C514" s="25">
        <v>5.11E-2</v>
      </c>
      <c r="D514" s="24" t="s">
        <v>898</v>
      </c>
      <c r="E514" s="25" t="s">
        <v>743</v>
      </c>
      <c r="F514" s="24">
        <v>9.4961000000000001E-5</v>
      </c>
      <c r="G514" s="24">
        <v>6.5518099999999999E-3</v>
      </c>
      <c r="H514" s="24">
        <v>0</v>
      </c>
      <c r="I514" s="25" t="s">
        <v>882</v>
      </c>
      <c r="J514" s="19">
        <f t="shared" si="29"/>
        <v>1.3673450398684299E-5</v>
      </c>
    </row>
    <row r="515" spans="1:10" x14ac:dyDescent="0.15">
      <c r="A515" s="25" t="s">
        <v>881</v>
      </c>
      <c r="B515" s="25" t="s">
        <v>923</v>
      </c>
      <c r="C515" s="25">
        <v>5.11E-2</v>
      </c>
      <c r="D515" s="24" t="s">
        <v>899</v>
      </c>
      <c r="E515" s="25" t="s">
        <v>743</v>
      </c>
      <c r="F515" s="24">
        <v>1.4434100000000001E-4</v>
      </c>
      <c r="G515" s="24">
        <v>4.9737829999999999E-3</v>
      </c>
      <c r="H515" s="24">
        <v>22.191109999999998</v>
      </c>
      <c r="I515" s="25" t="s">
        <v>882</v>
      </c>
      <c r="J515" s="19">
        <f t="shared" si="29"/>
        <v>2.5349814797027054E-5</v>
      </c>
    </row>
    <row r="516" spans="1:10" x14ac:dyDescent="0.15">
      <c r="A516" s="25" t="s">
        <v>881</v>
      </c>
      <c r="B516" s="25" t="s">
        <v>923</v>
      </c>
      <c r="C516" s="25">
        <v>5.11E-2</v>
      </c>
      <c r="D516" s="24" t="s">
        <v>895</v>
      </c>
      <c r="E516" s="25" t="s">
        <v>743</v>
      </c>
      <c r="F516" s="24">
        <v>6.7791000000000002E-5</v>
      </c>
      <c r="G516" s="24">
        <v>8.2521850000000004E-3</v>
      </c>
      <c r="H516" s="24">
        <v>0</v>
      </c>
      <c r="I516" s="25" t="s">
        <v>882</v>
      </c>
      <c r="J516" s="19">
        <f t="shared" si="29"/>
        <v>7.7499200011761322E-6</v>
      </c>
    </row>
    <row r="517" spans="1:10" x14ac:dyDescent="0.15">
      <c r="A517" s="25" t="s">
        <v>881</v>
      </c>
      <c r="B517" s="25" t="s">
        <v>923</v>
      </c>
      <c r="C517" s="25">
        <v>5.11E-2</v>
      </c>
      <c r="D517" s="24" t="s">
        <v>894</v>
      </c>
      <c r="E517" s="25" t="s">
        <v>743</v>
      </c>
      <c r="F517" s="24">
        <v>4.8837E-5</v>
      </c>
      <c r="G517" s="24">
        <v>7.8314600000000002E-3</v>
      </c>
      <c r="H517" s="24">
        <v>0</v>
      </c>
      <c r="I517" s="25" t="s">
        <v>882</v>
      </c>
      <c r="J517" s="19">
        <f t="shared" si="28"/>
        <v>5.88302072786351E-6</v>
      </c>
    </row>
    <row r="518" spans="1:10" x14ac:dyDescent="0.15">
      <c r="A518" s="25" t="s">
        <v>881</v>
      </c>
      <c r="B518" s="25" t="s">
        <v>923</v>
      </c>
      <c r="C518" s="25">
        <v>5.11E-2</v>
      </c>
      <c r="D518" s="24" t="s">
        <v>901</v>
      </c>
      <c r="E518" s="25" t="s">
        <v>743</v>
      </c>
      <c r="F518" s="24">
        <v>2.6898999999999998E-5</v>
      </c>
      <c r="G518" s="24">
        <v>8.7016230000000003E-3</v>
      </c>
      <c r="H518" s="24">
        <v>0</v>
      </c>
      <c r="I518" s="25" t="s">
        <v>882</v>
      </c>
      <c r="J518" s="19">
        <f>F518*COS(RADIANS(H518))/(1060*G518)</f>
        <v>2.9162852831408142E-6</v>
      </c>
    </row>
    <row r="519" spans="1:10" x14ac:dyDescent="0.15">
      <c r="A519" s="25" t="s">
        <v>881</v>
      </c>
      <c r="B519" s="25" t="s">
        <v>923</v>
      </c>
      <c r="C519" s="25">
        <v>5.11E-2</v>
      </c>
      <c r="D519" s="24" t="s">
        <v>900</v>
      </c>
      <c r="E519" s="25" t="s">
        <v>743</v>
      </c>
      <c r="F519" s="24">
        <v>5.9845E-5</v>
      </c>
      <c r="G519" s="24">
        <v>8.1235959999999986E-3</v>
      </c>
      <c r="H519" s="24">
        <v>17.220890000000001</v>
      </c>
      <c r="I519" s="25" t="s">
        <v>882</v>
      </c>
      <c r="J519" s="19">
        <f>F519*COS(RADIANS(H519))/(1060*G519)</f>
        <v>6.6382649553298046E-6</v>
      </c>
    </row>
    <row r="520" spans="1:10" x14ac:dyDescent="0.15">
      <c r="A520" s="25" t="s">
        <v>881</v>
      </c>
      <c r="B520" s="25" t="s">
        <v>923</v>
      </c>
      <c r="C520" s="25">
        <v>5.11E-2</v>
      </c>
      <c r="D520" s="24" t="s">
        <v>109</v>
      </c>
      <c r="E520" s="25" t="s">
        <v>743</v>
      </c>
      <c r="F520" s="24">
        <v>2.3914999999999997E-5</v>
      </c>
      <c r="G520" s="24">
        <v>7.0012489999999993E-3</v>
      </c>
      <c r="H520" s="24">
        <v>0</v>
      </c>
      <c r="I520" s="25" t="s">
        <v>882</v>
      </c>
      <c r="J520" s="19">
        <f>F520*COS(RADIANS(H520))/(1060*G520)</f>
        <v>3.2224708412337545E-6</v>
      </c>
    </row>
    <row r="521" spans="1:10" x14ac:dyDescent="0.15">
      <c r="A521" s="29" t="s">
        <v>95</v>
      </c>
      <c r="B521" s="29" t="s">
        <v>925</v>
      </c>
      <c r="C521" s="29">
        <v>27</v>
      </c>
      <c r="D521" s="30" t="s">
        <v>113</v>
      </c>
      <c r="E521" s="29" t="s">
        <v>742</v>
      </c>
      <c r="F521" s="7">
        <v>1.0957914634009244E-2</v>
      </c>
      <c r="G521" s="7">
        <v>2.9399999999999999E-2</v>
      </c>
      <c r="H521" s="23">
        <v>7</v>
      </c>
      <c r="I521" s="29" t="s">
        <v>112</v>
      </c>
      <c r="J521" s="19">
        <f>F521*COS(RADIANS(H521))/(1060*G521)</f>
        <v>3.4899999999999997E-4</v>
      </c>
    </row>
    <row r="522" spans="1:10" x14ac:dyDescent="0.15">
      <c r="A522" s="29" t="s">
        <v>95</v>
      </c>
      <c r="B522" s="29" t="s">
        <v>925</v>
      </c>
      <c r="C522" s="29">
        <v>27</v>
      </c>
      <c r="D522" s="7" t="s">
        <v>114</v>
      </c>
      <c r="E522" s="29" t="s">
        <v>742</v>
      </c>
      <c r="F522" s="7">
        <v>0.1869575</v>
      </c>
      <c r="G522" s="7">
        <v>0.125</v>
      </c>
      <c r="H522" s="23">
        <v>0</v>
      </c>
      <c r="I522" s="29" t="s">
        <v>112</v>
      </c>
      <c r="J522" s="19">
        <f t="shared" si="27"/>
        <v>1.4109999999999999E-3</v>
      </c>
    </row>
    <row r="523" spans="1:10" x14ac:dyDescent="0.15">
      <c r="A523" s="29" t="s">
        <v>95</v>
      </c>
      <c r="B523" s="29" t="s">
        <v>925</v>
      </c>
      <c r="C523" s="29">
        <v>27</v>
      </c>
      <c r="D523" s="7" t="s">
        <v>115</v>
      </c>
      <c r="E523" s="29" t="s">
        <v>742</v>
      </c>
      <c r="F523" s="7">
        <v>0.10703246362307359</v>
      </c>
      <c r="G523" s="7">
        <v>0.04</v>
      </c>
      <c r="H523" s="23">
        <v>10</v>
      </c>
      <c r="I523" s="29" t="s">
        <v>112</v>
      </c>
      <c r="J523" s="19">
        <f t="shared" si="27"/>
        <v>2.4859999999999999E-3</v>
      </c>
    </row>
    <row r="524" spans="1:10" x14ac:dyDescent="0.15">
      <c r="A524" s="29" t="s">
        <v>95</v>
      </c>
      <c r="B524" s="29" t="s">
        <v>925</v>
      </c>
      <c r="C524" s="29">
        <v>27</v>
      </c>
      <c r="D524" s="30" t="s">
        <v>97</v>
      </c>
      <c r="E524" s="29" t="s">
        <v>742</v>
      </c>
      <c r="F524" s="7">
        <v>9.6851350687173626E-3</v>
      </c>
      <c r="G524" s="7">
        <v>2.0799999999999999E-2</v>
      </c>
      <c r="H524" s="23">
        <v>8</v>
      </c>
      <c r="I524" s="29" t="s">
        <v>112</v>
      </c>
      <c r="J524" s="19">
        <f t="shared" si="27"/>
        <v>4.35E-4</v>
      </c>
    </row>
    <row r="525" spans="1:10" x14ac:dyDescent="0.15">
      <c r="A525" s="29" t="s">
        <v>95</v>
      </c>
      <c r="B525" s="29" t="s">
        <v>925</v>
      </c>
      <c r="C525" s="29">
        <v>27</v>
      </c>
      <c r="D525" s="30" t="s">
        <v>96</v>
      </c>
      <c r="E525" s="29" t="s">
        <v>742</v>
      </c>
      <c r="F525" s="7">
        <v>2.5329662379607688E-2</v>
      </c>
      <c r="G525" s="7">
        <v>5.0700000000000002E-2</v>
      </c>
      <c r="H525" s="23">
        <v>22</v>
      </c>
      <c r="I525" s="29" t="s">
        <v>112</v>
      </c>
      <c r="J525" s="19">
        <f t="shared" si="27"/>
        <v>4.37E-4</v>
      </c>
    </row>
    <row r="526" spans="1:10" x14ac:dyDescent="0.15">
      <c r="A526" s="29" t="s">
        <v>95</v>
      </c>
      <c r="B526" s="29" t="s">
        <v>925</v>
      </c>
      <c r="C526" s="29">
        <v>27</v>
      </c>
      <c r="D526" s="30" t="s">
        <v>116</v>
      </c>
      <c r="E526" s="29" t="s">
        <v>742</v>
      </c>
      <c r="F526" s="7">
        <v>6.1230145588527705E-2</v>
      </c>
      <c r="G526" s="7">
        <v>6.4500000000000002E-2</v>
      </c>
      <c r="H526" s="23">
        <v>12</v>
      </c>
      <c r="I526" s="29" t="s">
        <v>112</v>
      </c>
      <c r="J526" s="19">
        <f t="shared" si="27"/>
        <v>8.7599999999999983E-4</v>
      </c>
    </row>
    <row r="527" spans="1:10" x14ac:dyDescent="0.15">
      <c r="A527" s="29" t="s">
        <v>95</v>
      </c>
      <c r="B527" s="29" t="s">
        <v>925</v>
      </c>
      <c r="C527" s="29">
        <v>27</v>
      </c>
      <c r="D527" s="30" t="s">
        <v>118</v>
      </c>
      <c r="E527" s="29" t="s">
        <v>742</v>
      </c>
      <c r="F527" s="7">
        <v>1.1880162E-2</v>
      </c>
      <c r="G527" s="7">
        <v>5.9299999999999999E-2</v>
      </c>
      <c r="H527" s="23">
        <v>0</v>
      </c>
      <c r="I527" s="29" t="s">
        <v>112</v>
      </c>
      <c r="J527" s="19">
        <f t="shared" si="27"/>
        <v>1.8900000000000001E-4</v>
      </c>
    </row>
    <row r="528" spans="1:10" x14ac:dyDescent="0.15">
      <c r="A528" s="29" t="s">
        <v>95</v>
      </c>
      <c r="B528" s="29" t="s">
        <v>925</v>
      </c>
      <c r="C528" s="29">
        <v>27</v>
      </c>
      <c r="D528" s="30" t="s">
        <v>117</v>
      </c>
      <c r="E528" s="29" t="s">
        <v>742</v>
      </c>
      <c r="F528" s="7">
        <v>8.5179480000000009E-3</v>
      </c>
      <c r="G528" s="7">
        <v>2.2700000000000001E-2</v>
      </c>
      <c r="H528" s="23">
        <v>0</v>
      </c>
      <c r="I528" s="29" t="s">
        <v>112</v>
      </c>
      <c r="J528" s="19">
        <f t="shared" si="27"/>
        <v>3.5400000000000004E-4</v>
      </c>
    </row>
    <row r="529" spans="1:10" x14ac:dyDescent="0.15">
      <c r="A529" s="29" t="s">
        <v>95</v>
      </c>
      <c r="B529" s="29" t="s">
        <v>925</v>
      </c>
      <c r="C529" s="29">
        <v>27</v>
      </c>
      <c r="D529" s="30" t="s">
        <v>119</v>
      </c>
      <c r="E529" s="29" t="s">
        <v>742</v>
      </c>
      <c r="F529" s="7">
        <v>8.8283105531925393E-3</v>
      </c>
      <c r="G529" s="7">
        <v>1.78E-2</v>
      </c>
      <c r="H529" s="23">
        <v>14</v>
      </c>
      <c r="I529" s="29" t="s">
        <v>112</v>
      </c>
      <c r="J529" s="19">
        <f t="shared" ref="J529:J549" si="30">F529*COS(RADIANS(H529))/(1060*G529)</f>
        <v>4.5399999999999998E-4</v>
      </c>
    </row>
    <row r="530" spans="1:10" x14ac:dyDescent="0.15">
      <c r="A530" s="29" t="s">
        <v>95</v>
      </c>
      <c r="B530" s="29" t="s">
        <v>925</v>
      </c>
      <c r="C530" s="29">
        <v>27</v>
      </c>
      <c r="D530" s="30" t="s">
        <v>120</v>
      </c>
      <c r="E530" s="29" t="s">
        <v>742</v>
      </c>
      <c r="F530" s="7">
        <v>7.7235840000000004E-3</v>
      </c>
      <c r="G530" s="7">
        <v>5.0599999999999999E-2</v>
      </c>
      <c r="H530" s="23">
        <v>0</v>
      </c>
      <c r="I530" s="29" t="s">
        <v>112</v>
      </c>
      <c r="J530" s="19">
        <f t="shared" si="30"/>
        <v>1.4400000000000003E-4</v>
      </c>
    </row>
    <row r="531" spans="1:10" x14ac:dyDescent="0.15">
      <c r="A531" s="29" t="s">
        <v>95</v>
      </c>
      <c r="B531" s="29" t="s">
        <v>925</v>
      </c>
      <c r="C531" s="29">
        <v>27</v>
      </c>
      <c r="D531" s="30" t="s">
        <v>121</v>
      </c>
      <c r="E531" s="29" t="s">
        <v>742</v>
      </c>
      <c r="F531" s="7">
        <v>6.1039288024593213E-2</v>
      </c>
      <c r="G531" s="7">
        <v>2.7099999999999999E-2</v>
      </c>
      <c r="H531" s="23">
        <v>32</v>
      </c>
      <c r="I531" s="29" t="s">
        <v>112</v>
      </c>
      <c r="J531" s="19">
        <f t="shared" si="30"/>
        <v>1.8020000000000002E-3</v>
      </c>
    </row>
    <row r="532" spans="1:10" x14ac:dyDescent="0.15">
      <c r="A532" s="29" t="s">
        <v>95</v>
      </c>
      <c r="B532" s="29" t="s">
        <v>925</v>
      </c>
      <c r="C532" s="29">
        <v>27</v>
      </c>
      <c r="D532" s="30" t="s">
        <v>122</v>
      </c>
      <c r="E532" s="29" t="s">
        <v>742</v>
      </c>
      <c r="F532" s="7">
        <v>0.1455168</v>
      </c>
      <c r="G532" s="7">
        <v>0.12</v>
      </c>
      <c r="H532" s="23">
        <v>0</v>
      </c>
      <c r="I532" s="29" t="s">
        <v>112</v>
      </c>
      <c r="J532" s="19">
        <f t="shared" si="30"/>
        <v>1.1440000000000001E-3</v>
      </c>
    </row>
    <row r="533" spans="1:10" x14ac:dyDescent="0.15">
      <c r="A533" s="29" t="s">
        <v>95</v>
      </c>
      <c r="B533" s="29" t="s">
        <v>925</v>
      </c>
      <c r="C533" s="29">
        <v>27</v>
      </c>
      <c r="D533" s="30" t="s">
        <v>123</v>
      </c>
      <c r="E533" s="29" t="s">
        <v>742</v>
      </c>
      <c r="F533" s="7">
        <v>0.1185504</v>
      </c>
      <c r="G533" s="7">
        <v>0.12</v>
      </c>
      <c r="H533" s="23">
        <v>0</v>
      </c>
      <c r="I533" s="29" t="s">
        <v>112</v>
      </c>
      <c r="J533" s="19">
        <f t="shared" si="30"/>
        <v>9.320000000000001E-4</v>
      </c>
    </row>
    <row r="534" spans="1:10" x14ac:dyDescent="0.15">
      <c r="A534" s="29" t="s">
        <v>95</v>
      </c>
      <c r="B534" s="29" t="s">
        <v>925</v>
      </c>
      <c r="C534" s="29">
        <v>27</v>
      </c>
      <c r="D534" s="30" t="s">
        <v>100</v>
      </c>
      <c r="E534" s="29" t="s">
        <v>742</v>
      </c>
      <c r="F534" s="7">
        <v>0.10052933999999999</v>
      </c>
      <c r="G534" s="7">
        <v>6.0599999999999994E-2</v>
      </c>
      <c r="H534" s="23">
        <v>0</v>
      </c>
      <c r="I534" s="29" t="s">
        <v>112</v>
      </c>
      <c r="J534" s="19">
        <f t="shared" si="30"/>
        <v>1.5650000000000002E-3</v>
      </c>
    </row>
    <row r="535" spans="1:10" x14ac:dyDescent="0.15">
      <c r="A535" s="29" t="s">
        <v>95</v>
      </c>
      <c r="B535" s="29" t="s">
        <v>925</v>
      </c>
      <c r="C535" s="29">
        <v>27</v>
      </c>
      <c r="D535" s="30" t="s">
        <v>105</v>
      </c>
      <c r="E535" s="29" t="s">
        <v>742</v>
      </c>
      <c r="F535" s="7">
        <v>5.261921611972234E-2</v>
      </c>
      <c r="G535" s="7">
        <v>3.9800000000000002E-2</v>
      </c>
      <c r="H535" s="23">
        <v>12</v>
      </c>
      <c r="I535" s="29" t="s">
        <v>112</v>
      </c>
      <c r="J535" s="19">
        <f t="shared" si="30"/>
        <v>1.2199999999999999E-3</v>
      </c>
    </row>
    <row r="536" spans="1:10" x14ac:dyDescent="0.15">
      <c r="A536" s="29" t="s">
        <v>95</v>
      </c>
      <c r="B536" s="29" t="s">
        <v>925</v>
      </c>
      <c r="C536" s="29">
        <v>27</v>
      </c>
      <c r="D536" s="30" t="s">
        <v>124</v>
      </c>
      <c r="E536" s="29" t="s">
        <v>742</v>
      </c>
      <c r="F536" s="7">
        <v>5.0668000000000005E-2</v>
      </c>
      <c r="G536" s="7">
        <v>0.2</v>
      </c>
      <c r="H536" s="23">
        <v>0</v>
      </c>
      <c r="I536" s="29" t="s">
        <v>112</v>
      </c>
      <c r="J536" s="19">
        <f t="shared" si="30"/>
        <v>2.3900000000000001E-4</v>
      </c>
    </row>
    <row r="537" spans="1:10" x14ac:dyDescent="0.15">
      <c r="A537" s="29" t="s">
        <v>95</v>
      </c>
      <c r="B537" s="29" t="s">
        <v>925</v>
      </c>
      <c r="C537" s="29">
        <v>27</v>
      </c>
      <c r="D537" s="30" t="s">
        <v>125</v>
      </c>
      <c r="E537" s="29" t="s">
        <v>742</v>
      </c>
      <c r="F537" s="7">
        <v>1.4893529999999999E-2</v>
      </c>
      <c r="G537" s="7">
        <v>0.2465</v>
      </c>
      <c r="H537" s="23">
        <v>0</v>
      </c>
      <c r="I537" s="29" t="s">
        <v>112</v>
      </c>
      <c r="J537" s="19">
        <f t="shared" si="30"/>
        <v>5.699999999999999E-5</v>
      </c>
    </row>
    <row r="538" spans="1:10" x14ac:dyDescent="0.15">
      <c r="A538" s="29" t="s">
        <v>95</v>
      </c>
      <c r="B538" s="29" t="s">
        <v>925</v>
      </c>
      <c r="C538" s="29">
        <v>27</v>
      </c>
      <c r="D538" s="30" t="s">
        <v>98</v>
      </c>
      <c r="E538" s="29" t="s">
        <v>742</v>
      </c>
      <c r="F538" s="7">
        <v>0.17172127200000001</v>
      </c>
      <c r="G538" s="7">
        <v>0.21260000000000001</v>
      </c>
      <c r="H538" s="23">
        <v>0</v>
      </c>
      <c r="I538" s="29" t="s">
        <v>112</v>
      </c>
      <c r="J538" s="19">
        <f t="shared" si="30"/>
        <v>7.6199999999999998E-4</v>
      </c>
    </row>
    <row r="539" spans="1:10" x14ac:dyDescent="0.15">
      <c r="A539" s="29" t="s">
        <v>95</v>
      </c>
      <c r="B539" s="29" t="s">
        <v>925</v>
      </c>
      <c r="C539" s="29">
        <v>27</v>
      </c>
      <c r="D539" s="30" t="s">
        <v>126</v>
      </c>
      <c r="E539" s="29" t="s">
        <v>742</v>
      </c>
      <c r="F539" s="7">
        <v>0.10517256400000001</v>
      </c>
      <c r="G539" s="7">
        <v>0.18340000000000001</v>
      </c>
      <c r="H539" s="23">
        <v>0</v>
      </c>
      <c r="I539" s="29" t="s">
        <v>112</v>
      </c>
      <c r="J539" s="19">
        <f t="shared" si="30"/>
        <v>5.4100000000000003E-4</v>
      </c>
    </row>
    <row r="540" spans="1:10" x14ac:dyDescent="0.15">
      <c r="A540" s="29" t="s">
        <v>95</v>
      </c>
      <c r="B540" s="29" t="s">
        <v>925</v>
      </c>
      <c r="C540" s="29">
        <v>27</v>
      </c>
      <c r="D540" s="30" t="s">
        <v>127</v>
      </c>
      <c r="E540" s="29" t="s">
        <v>742</v>
      </c>
      <c r="F540" s="7">
        <v>0.10449022982088517</v>
      </c>
      <c r="G540" s="7">
        <v>7.8600000000000003E-2</v>
      </c>
      <c r="H540" s="23">
        <v>13</v>
      </c>
      <c r="I540" s="29" t="s">
        <v>112</v>
      </c>
      <c r="J540" s="19">
        <f t="shared" si="30"/>
        <v>1.222E-3</v>
      </c>
    </row>
    <row r="541" spans="1:10" x14ac:dyDescent="0.15">
      <c r="A541" s="29" t="s">
        <v>95</v>
      </c>
      <c r="B541" s="29" t="s">
        <v>925</v>
      </c>
      <c r="C541" s="29">
        <v>27</v>
      </c>
      <c r="D541" s="30" t="s">
        <v>103</v>
      </c>
      <c r="E541" s="29" t="s">
        <v>742</v>
      </c>
      <c r="F541" s="7">
        <v>6.2789463408056204E-2</v>
      </c>
      <c r="G541" s="7">
        <v>8.6300000000000002E-2</v>
      </c>
      <c r="H541" s="23">
        <v>14</v>
      </c>
      <c r="I541" s="29" t="s">
        <v>112</v>
      </c>
      <c r="J541" s="19">
        <f t="shared" si="30"/>
        <v>6.6599999999999993E-4</v>
      </c>
    </row>
    <row r="542" spans="1:10" x14ac:dyDescent="0.15">
      <c r="A542" s="29" t="s">
        <v>95</v>
      </c>
      <c r="B542" s="29" t="s">
        <v>925</v>
      </c>
      <c r="C542" s="29">
        <v>27</v>
      </c>
      <c r="D542" s="30" t="s">
        <v>128</v>
      </c>
      <c r="E542" s="30" t="s">
        <v>743</v>
      </c>
      <c r="F542" s="7">
        <v>5.1749318271600328E-2</v>
      </c>
      <c r="G542" s="7">
        <v>1.1599999999999999E-2</v>
      </c>
      <c r="H542" s="23">
        <v>28</v>
      </c>
      <c r="I542" s="29" t="s">
        <v>112</v>
      </c>
      <c r="J542" s="19">
        <f t="shared" si="30"/>
        <v>3.7159999999999997E-3</v>
      </c>
    </row>
    <row r="543" spans="1:10" x14ac:dyDescent="0.15">
      <c r="A543" s="29" t="s">
        <v>95</v>
      </c>
      <c r="B543" s="29" t="s">
        <v>925</v>
      </c>
      <c r="C543" s="29">
        <v>27</v>
      </c>
      <c r="D543" s="30" t="s">
        <v>106</v>
      </c>
      <c r="E543" s="30" t="s">
        <v>743</v>
      </c>
      <c r="F543" s="7">
        <v>2.7491190113842323E-2</v>
      </c>
      <c r="G543" s="7">
        <v>1.29E-2</v>
      </c>
      <c r="H543" s="23">
        <v>26</v>
      </c>
      <c r="I543" s="29" t="s">
        <v>112</v>
      </c>
      <c r="J543" s="19">
        <f t="shared" si="30"/>
        <v>1.807E-3</v>
      </c>
    </row>
    <row r="544" spans="1:10" x14ac:dyDescent="0.15">
      <c r="A544" s="29" t="s">
        <v>95</v>
      </c>
      <c r="B544" s="29" t="s">
        <v>925</v>
      </c>
      <c r="C544" s="29">
        <v>27</v>
      </c>
      <c r="D544" s="30" t="s">
        <v>107</v>
      </c>
      <c r="E544" s="30" t="s">
        <v>743</v>
      </c>
      <c r="F544" s="7">
        <v>4.467789956561994E-2</v>
      </c>
      <c r="G544" s="7">
        <v>1.8500000000000003E-2</v>
      </c>
      <c r="H544" s="23">
        <v>27</v>
      </c>
      <c r="I544" s="29" t="s">
        <v>112</v>
      </c>
      <c r="J544" s="19">
        <f t="shared" si="30"/>
        <v>2.0300000000000001E-3</v>
      </c>
    </row>
    <row r="545" spans="1:10" x14ac:dyDescent="0.15">
      <c r="A545" s="29" t="s">
        <v>95</v>
      </c>
      <c r="B545" s="29" t="s">
        <v>925</v>
      </c>
      <c r="C545" s="29">
        <v>27</v>
      </c>
      <c r="D545" s="30" t="s">
        <v>129</v>
      </c>
      <c r="E545" s="30" t="s">
        <v>743</v>
      </c>
      <c r="F545" s="7">
        <v>1.1435165864154605E-3</v>
      </c>
      <c r="G545" s="7">
        <v>1.2800000000000001E-2</v>
      </c>
      <c r="H545" s="23">
        <v>10</v>
      </c>
      <c r="I545" s="29" t="s">
        <v>112</v>
      </c>
      <c r="J545" s="19">
        <f t="shared" si="30"/>
        <v>8.2999999999999985E-5</v>
      </c>
    </row>
    <row r="546" spans="1:10" x14ac:dyDescent="0.15">
      <c r="A546" s="29" t="s">
        <v>95</v>
      </c>
      <c r="B546" s="29" t="s">
        <v>925</v>
      </c>
      <c r="C546" s="29">
        <v>27</v>
      </c>
      <c r="D546" s="30" t="s">
        <v>130</v>
      </c>
      <c r="E546" s="30" t="s">
        <v>743</v>
      </c>
      <c r="F546" s="7">
        <v>1.6018295999999998E-2</v>
      </c>
      <c r="G546" s="7">
        <v>5.1399999999999994E-2</v>
      </c>
      <c r="H546" s="23">
        <v>0</v>
      </c>
      <c r="I546" s="29" t="s">
        <v>112</v>
      </c>
      <c r="J546" s="19">
        <f t="shared" si="30"/>
        <v>2.9399999999999999E-4</v>
      </c>
    </row>
    <row r="547" spans="1:10" x14ac:dyDescent="0.15">
      <c r="A547" s="29" t="s">
        <v>95</v>
      </c>
      <c r="B547" s="29" t="s">
        <v>925</v>
      </c>
      <c r="C547" s="29">
        <v>27</v>
      </c>
      <c r="D547" s="30" t="s">
        <v>110</v>
      </c>
      <c r="E547" s="30" t="s">
        <v>743</v>
      </c>
      <c r="F547" s="7">
        <v>4.7591264816781491E-2</v>
      </c>
      <c r="G547" s="7">
        <v>1.54E-2</v>
      </c>
      <c r="H547" s="23">
        <v>31</v>
      </c>
      <c r="I547" s="29" t="s">
        <v>112</v>
      </c>
      <c r="J547" s="19">
        <f t="shared" si="30"/>
        <v>2.4989999999999999E-3</v>
      </c>
    </row>
    <row r="548" spans="1:10" x14ac:dyDescent="0.15">
      <c r="A548" s="29" t="s">
        <v>95</v>
      </c>
      <c r="B548" s="29" t="s">
        <v>925</v>
      </c>
      <c r="C548" s="29">
        <v>27</v>
      </c>
      <c r="D548" s="30" t="s">
        <v>109</v>
      </c>
      <c r="E548" s="30" t="s">
        <v>743</v>
      </c>
      <c r="F548" s="7">
        <v>5.1940000000000007E-3</v>
      </c>
      <c r="G548" s="7">
        <v>2.4500000000000001E-2</v>
      </c>
      <c r="H548" s="23">
        <v>0</v>
      </c>
      <c r="I548" s="29" t="s">
        <v>112</v>
      </c>
      <c r="J548" s="19">
        <f t="shared" si="30"/>
        <v>2.0000000000000001E-4</v>
      </c>
    </row>
    <row r="549" spans="1:10" x14ac:dyDescent="0.15">
      <c r="A549" s="29" t="s">
        <v>95</v>
      </c>
      <c r="B549" s="29" t="s">
        <v>925</v>
      </c>
      <c r="C549" s="29">
        <v>27</v>
      </c>
      <c r="D549" s="30" t="s">
        <v>108</v>
      </c>
      <c r="E549" s="30" t="s">
        <v>743</v>
      </c>
      <c r="F549" s="7">
        <v>2.1834286050372857E-2</v>
      </c>
      <c r="G549" s="7">
        <v>0.10800000000000001</v>
      </c>
      <c r="H549" s="23">
        <v>5</v>
      </c>
      <c r="I549" s="29" t="s">
        <v>112</v>
      </c>
      <c r="J549" s="19">
        <f t="shared" si="30"/>
        <v>1.8999999999999996E-4</v>
      </c>
    </row>
    <row r="550" spans="1:10" x14ac:dyDescent="0.15">
      <c r="A550" s="34" t="s">
        <v>131</v>
      </c>
      <c r="B550" s="34" t="s">
        <v>925</v>
      </c>
      <c r="C550" s="34">
        <v>2.3449999999999999E-2</v>
      </c>
      <c r="D550" s="33" t="s">
        <v>133</v>
      </c>
      <c r="E550" s="34" t="s">
        <v>742</v>
      </c>
      <c r="F550" s="33">
        <v>1.3759999999999998E-4</v>
      </c>
      <c r="G550" s="33">
        <v>8.6199999999999992E-3</v>
      </c>
      <c r="H550" s="33">
        <v>20.420000000000002</v>
      </c>
      <c r="I550" s="34" t="s">
        <v>132</v>
      </c>
      <c r="J550" s="19">
        <f>F550*COS(RADIANS(H550))/(1060*G550)</f>
        <v>1.4112994295016055E-5</v>
      </c>
    </row>
    <row r="551" spans="1:10" x14ac:dyDescent="0.15">
      <c r="A551" s="34" t="s">
        <v>131</v>
      </c>
      <c r="B551" s="34" t="s">
        <v>925</v>
      </c>
      <c r="C551" s="34">
        <v>2.3449999999999999E-2</v>
      </c>
      <c r="D551" s="33" t="s">
        <v>118</v>
      </c>
      <c r="E551" s="34" t="s">
        <v>742</v>
      </c>
      <c r="F551" s="33">
        <v>7.5000000000000002E-7</v>
      </c>
      <c r="G551" s="33">
        <v>2.8500000000000001E-3</v>
      </c>
      <c r="H551" s="33">
        <v>0</v>
      </c>
      <c r="I551" s="34" t="s">
        <v>132</v>
      </c>
      <c r="J551" s="19">
        <f t="shared" ref="J551:J619" si="31">F551*COS(RADIANS(H551))/(1060*G551)</f>
        <v>2.4826216484607748E-7</v>
      </c>
    </row>
    <row r="552" spans="1:10" x14ac:dyDescent="0.15">
      <c r="A552" s="34" t="s">
        <v>131</v>
      </c>
      <c r="B552" s="34" t="s">
        <v>925</v>
      </c>
      <c r="C552" s="34">
        <v>2.3449999999999999E-2</v>
      </c>
      <c r="D552" s="33" t="s">
        <v>117</v>
      </c>
      <c r="E552" s="34" t="s">
        <v>742</v>
      </c>
      <c r="F552" s="33">
        <v>6.2500000000000003E-6</v>
      </c>
      <c r="G552" s="33">
        <v>4.2599999999999999E-3</v>
      </c>
      <c r="H552" s="33">
        <v>0</v>
      </c>
      <c r="I552" s="34" t="s">
        <v>132</v>
      </c>
      <c r="J552" s="19">
        <f t="shared" si="31"/>
        <v>1.3840907077686245E-6</v>
      </c>
    </row>
    <row r="553" spans="1:10" x14ac:dyDescent="0.15">
      <c r="A553" s="34" t="s">
        <v>131</v>
      </c>
      <c r="B553" s="34" t="s">
        <v>925</v>
      </c>
      <c r="C553" s="34">
        <v>2.3449999999999999E-2</v>
      </c>
      <c r="D553" s="33" t="s">
        <v>134</v>
      </c>
      <c r="E553" s="34" t="s">
        <v>742</v>
      </c>
      <c r="F553" s="33">
        <v>9.0000000000000007E-7</v>
      </c>
      <c r="G553" s="33">
        <v>1.8400000000000001E-3</v>
      </c>
      <c r="H553" s="33">
        <v>0</v>
      </c>
      <c r="I553" s="34" t="s">
        <v>132</v>
      </c>
      <c r="J553" s="19">
        <f t="shared" si="31"/>
        <v>4.6144380639868747E-7</v>
      </c>
    </row>
    <row r="554" spans="1:10" x14ac:dyDescent="0.15">
      <c r="A554" s="34" t="s">
        <v>131</v>
      </c>
      <c r="B554" s="34" t="s">
        <v>925</v>
      </c>
      <c r="C554" s="34">
        <v>2.3449999999999999E-2</v>
      </c>
      <c r="D554" s="33" t="s">
        <v>120</v>
      </c>
      <c r="E554" s="34" t="s">
        <v>742</v>
      </c>
      <c r="F554" s="33">
        <v>3.3250000000000002E-5</v>
      </c>
      <c r="G554" s="33">
        <v>8.9300000000000004E-3</v>
      </c>
      <c r="H554" s="33">
        <v>0</v>
      </c>
      <c r="I554" s="34" t="s">
        <v>132</v>
      </c>
      <c r="J554" s="19">
        <f t="shared" si="31"/>
        <v>3.5126455238859898E-6</v>
      </c>
    </row>
    <row r="555" spans="1:10" x14ac:dyDescent="0.15">
      <c r="A555" s="34" t="s">
        <v>131</v>
      </c>
      <c r="B555" s="34" t="s">
        <v>925</v>
      </c>
      <c r="C555" s="34">
        <v>2.3449999999999999E-2</v>
      </c>
      <c r="D555" s="33" t="s">
        <v>114</v>
      </c>
      <c r="E555" s="34" t="s">
        <v>742</v>
      </c>
      <c r="F555" s="33">
        <v>1.6440000000000002E-5</v>
      </c>
      <c r="G555" s="33">
        <v>7.9900000000000006E-3</v>
      </c>
      <c r="H555" s="33">
        <v>0</v>
      </c>
      <c r="I555" s="34" t="s">
        <v>132</v>
      </c>
      <c r="J555" s="19">
        <f t="shared" si="31"/>
        <v>1.9411056273171657E-6</v>
      </c>
    </row>
    <row r="556" spans="1:10" x14ac:dyDescent="0.15">
      <c r="A556" s="34" t="s">
        <v>131</v>
      </c>
      <c r="B556" s="34" t="s">
        <v>925</v>
      </c>
      <c r="C556" s="34">
        <v>2.3449999999999999E-2</v>
      </c>
      <c r="D556" s="33" t="s">
        <v>135</v>
      </c>
      <c r="E556" s="34" t="s">
        <v>742</v>
      </c>
      <c r="F556" s="33">
        <v>1.0550000000000001E-5</v>
      </c>
      <c r="G556" s="33">
        <v>7.4000000000000003E-3</v>
      </c>
      <c r="H556" s="33">
        <v>0</v>
      </c>
      <c r="I556" s="34" t="s">
        <v>132</v>
      </c>
      <c r="J556" s="19">
        <f t="shared" si="31"/>
        <v>1.3449770525242224E-6</v>
      </c>
    </row>
    <row r="557" spans="1:10" x14ac:dyDescent="0.15">
      <c r="A557" s="34" t="s">
        <v>131</v>
      </c>
      <c r="B557" s="34" t="s">
        <v>925</v>
      </c>
      <c r="C557" s="34">
        <v>2.3449999999999999E-2</v>
      </c>
      <c r="D557" s="33" t="s">
        <v>113</v>
      </c>
      <c r="E557" s="34" t="s">
        <v>742</v>
      </c>
      <c r="F557" s="33">
        <v>5.3000000000000001E-6</v>
      </c>
      <c r="G557" s="33">
        <v>6.4900000000000001E-3</v>
      </c>
      <c r="H557" s="33">
        <v>0</v>
      </c>
      <c r="I557" s="34" t="s">
        <v>132</v>
      </c>
      <c r="J557" s="19">
        <f t="shared" si="31"/>
        <v>7.7041602465331277E-7</v>
      </c>
    </row>
    <row r="558" spans="1:10" x14ac:dyDescent="0.15">
      <c r="A558" s="34" t="s">
        <v>131</v>
      </c>
      <c r="B558" s="34" t="s">
        <v>925</v>
      </c>
      <c r="C558" s="34">
        <v>2.3449999999999999E-2</v>
      </c>
      <c r="D558" s="33" t="s">
        <v>136</v>
      </c>
      <c r="E558" s="34" t="s">
        <v>742</v>
      </c>
      <c r="F558" s="33">
        <v>1.1090000000000001E-5</v>
      </c>
      <c r="G558" s="33">
        <v>7.4999999999999997E-3</v>
      </c>
      <c r="H558" s="33">
        <v>0</v>
      </c>
      <c r="I558" s="34" t="s">
        <v>132</v>
      </c>
      <c r="J558" s="19">
        <f t="shared" si="31"/>
        <v>1.3949685534591198E-6</v>
      </c>
    </row>
    <row r="559" spans="1:10" x14ac:dyDescent="0.15">
      <c r="A559" s="34" t="s">
        <v>131</v>
      </c>
      <c r="B559" s="34" t="s">
        <v>925</v>
      </c>
      <c r="C559" s="34">
        <v>2.3449999999999999E-2</v>
      </c>
      <c r="D559" s="33" t="s">
        <v>137</v>
      </c>
      <c r="E559" s="34" t="s">
        <v>742</v>
      </c>
      <c r="F559" s="33">
        <v>1.2500000000000001E-5</v>
      </c>
      <c r="G559" s="33">
        <v>7.6500000000000005E-3</v>
      </c>
      <c r="H559" s="33">
        <v>0</v>
      </c>
      <c r="I559" s="34" t="s">
        <v>132</v>
      </c>
      <c r="J559" s="19">
        <f t="shared" si="31"/>
        <v>1.5414971019854482E-6</v>
      </c>
    </row>
    <row r="560" spans="1:10" x14ac:dyDescent="0.15">
      <c r="A560" s="34" t="s">
        <v>131</v>
      </c>
      <c r="B560" s="34" t="s">
        <v>925</v>
      </c>
      <c r="C560" s="34">
        <v>2.3449999999999999E-2</v>
      </c>
      <c r="D560" s="33" t="s">
        <v>138</v>
      </c>
      <c r="E560" s="34" t="s">
        <v>742</v>
      </c>
      <c r="F560" s="33">
        <v>3.2849999999999999E-5</v>
      </c>
      <c r="G560" s="33">
        <v>5.5599999999999998E-3</v>
      </c>
      <c r="H560" s="33">
        <v>15.54</v>
      </c>
      <c r="I560" s="34" t="s">
        <v>132</v>
      </c>
      <c r="J560" s="19">
        <f t="shared" si="31"/>
        <v>5.3700834683618502E-6</v>
      </c>
    </row>
    <row r="561" spans="1:10" x14ac:dyDescent="0.15">
      <c r="A561" s="34" t="s">
        <v>131</v>
      </c>
      <c r="B561" s="34" t="s">
        <v>925</v>
      </c>
      <c r="C561" s="34">
        <v>2.3449999999999999E-2</v>
      </c>
      <c r="D561" s="33" t="s">
        <v>139</v>
      </c>
      <c r="E561" s="34" t="s">
        <v>742</v>
      </c>
      <c r="F561" s="33">
        <v>2.2039999999999999E-5</v>
      </c>
      <c r="G561" s="33">
        <v>5.6299999999999996E-3</v>
      </c>
      <c r="H561" s="33">
        <v>12.57</v>
      </c>
      <c r="I561" s="34" t="s">
        <v>132</v>
      </c>
      <c r="J561" s="19">
        <f t="shared" si="31"/>
        <v>3.6046315029175255E-6</v>
      </c>
    </row>
    <row r="562" spans="1:10" x14ac:dyDescent="0.15">
      <c r="A562" s="34" t="s">
        <v>131</v>
      </c>
      <c r="B562" s="34" t="s">
        <v>925</v>
      </c>
      <c r="C562" s="34">
        <v>2.3449999999999999E-2</v>
      </c>
      <c r="D562" s="33" t="s">
        <v>140</v>
      </c>
      <c r="E562" s="34" t="s">
        <v>742</v>
      </c>
      <c r="F562" s="33">
        <v>1.6559999999999997E-5</v>
      </c>
      <c r="G562" s="33">
        <v>6.9900000000000006E-3</v>
      </c>
      <c r="H562" s="33">
        <v>0</v>
      </c>
      <c r="I562" s="34" t="s">
        <v>132</v>
      </c>
      <c r="J562" s="19">
        <f t="shared" si="31"/>
        <v>2.2349987853267467E-6</v>
      </c>
    </row>
    <row r="563" spans="1:10" x14ac:dyDescent="0.15">
      <c r="A563" s="34" t="s">
        <v>131</v>
      </c>
      <c r="B563" s="34" t="s">
        <v>925</v>
      </c>
      <c r="C563" s="34">
        <v>2.3449999999999999E-2</v>
      </c>
      <c r="D563" s="33" t="s">
        <v>119</v>
      </c>
      <c r="E563" s="34" t="s">
        <v>742</v>
      </c>
      <c r="F563" s="33">
        <v>3.54E-6</v>
      </c>
      <c r="G563" s="33">
        <v>3.5800000000000003E-3</v>
      </c>
      <c r="H563" s="33">
        <v>15.18</v>
      </c>
      <c r="I563" s="34" t="s">
        <v>132</v>
      </c>
      <c r="J563" s="19">
        <f t="shared" si="31"/>
        <v>9.0030625267808715E-7</v>
      </c>
    </row>
    <row r="564" spans="1:10" x14ac:dyDescent="0.15">
      <c r="A564" s="34" t="s">
        <v>131</v>
      </c>
      <c r="B564" s="34" t="s">
        <v>925</v>
      </c>
      <c r="C564" s="34">
        <v>2.3449999999999999E-2</v>
      </c>
      <c r="D564" s="33" t="s">
        <v>141</v>
      </c>
      <c r="E564" s="34" t="s">
        <v>742</v>
      </c>
      <c r="F564" s="33">
        <v>2.2160000000000001E-5</v>
      </c>
      <c r="G564" s="33">
        <v>1.115E-2</v>
      </c>
      <c r="H564" s="33">
        <v>0</v>
      </c>
      <c r="I564" s="34" t="s">
        <v>132</v>
      </c>
      <c r="J564" s="19">
        <f t="shared" si="31"/>
        <v>1.8749471190456044E-6</v>
      </c>
    </row>
    <row r="565" spans="1:10" x14ac:dyDescent="0.15">
      <c r="A565" s="34" t="s">
        <v>131</v>
      </c>
      <c r="B565" s="34" t="s">
        <v>925</v>
      </c>
      <c r="C565" s="34">
        <v>2.3449999999999999E-2</v>
      </c>
      <c r="D565" s="33" t="s">
        <v>98</v>
      </c>
      <c r="E565" s="34" t="s">
        <v>742</v>
      </c>
      <c r="F565" s="33">
        <v>7.8609999999999994E-5</v>
      </c>
      <c r="G565" s="33">
        <v>1.0919999999999999E-2</v>
      </c>
      <c r="H565" s="33">
        <v>0</v>
      </c>
      <c r="I565" s="34" t="s">
        <v>132</v>
      </c>
      <c r="J565" s="19">
        <f t="shared" si="31"/>
        <v>6.791243347847122E-6</v>
      </c>
    </row>
    <row r="566" spans="1:10" x14ac:dyDescent="0.15">
      <c r="A566" s="34" t="s">
        <v>131</v>
      </c>
      <c r="B566" s="34" t="s">
        <v>925</v>
      </c>
      <c r="C566" s="34">
        <v>2.3449999999999999E-2</v>
      </c>
      <c r="D566" s="33" t="s">
        <v>126</v>
      </c>
      <c r="E566" s="34" t="s">
        <v>742</v>
      </c>
      <c r="F566" s="33">
        <v>5.079E-5</v>
      </c>
      <c r="G566" s="33">
        <v>1.0999999999999999E-2</v>
      </c>
      <c r="H566" s="33">
        <v>0</v>
      </c>
      <c r="I566" s="34" t="s">
        <v>132</v>
      </c>
      <c r="J566" s="19">
        <f t="shared" si="31"/>
        <v>4.3559176672384219E-6</v>
      </c>
    </row>
    <row r="567" spans="1:10" x14ac:dyDescent="0.15">
      <c r="A567" s="34" t="s">
        <v>131</v>
      </c>
      <c r="B567" s="34" t="s">
        <v>925</v>
      </c>
      <c r="C567" s="34">
        <v>2.3449999999999999E-2</v>
      </c>
      <c r="D567" s="33" t="s">
        <v>122</v>
      </c>
      <c r="E567" s="34" t="s">
        <v>742</v>
      </c>
      <c r="F567" s="33">
        <v>3.5340000000000004E-5</v>
      </c>
      <c r="G567" s="33">
        <v>1.034E-2</v>
      </c>
      <c r="H567" s="33">
        <v>0</v>
      </c>
      <c r="I567" s="34" t="s">
        <v>132</v>
      </c>
      <c r="J567" s="19">
        <f t="shared" si="31"/>
        <v>3.2243348782891138E-6</v>
      </c>
    </row>
    <row r="568" spans="1:10" x14ac:dyDescent="0.15">
      <c r="A568" s="34" t="s">
        <v>131</v>
      </c>
      <c r="B568" s="34" t="s">
        <v>925</v>
      </c>
      <c r="C568" s="34">
        <v>2.3449999999999999E-2</v>
      </c>
      <c r="D568" s="33" t="s">
        <v>142</v>
      </c>
      <c r="E568" s="34" t="s">
        <v>742</v>
      </c>
      <c r="F568" s="33">
        <v>8.8450000000000009E-5</v>
      </c>
      <c r="G568" s="33">
        <v>1.111E-2</v>
      </c>
      <c r="H568" s="33">
        <v>0</v>
      </c>
      <c r="I568" s="34" t="s">
        <v>132</v>
      </c>
      <c r="J568" s="19">
        <f t="shared" si="31"/>
        <v>7.5106567260499638E-6</v>
      </c>
    </row>
    <row r="569" spans="1:10" x14ac:dyDescent="0.15">
      <c r="A569" s="34" t="s">
        <v>131</v>
      </c>
      <c r="B569" s="34" t="s">
        <v>925</v>
      </c>
      <c r="C569" s="34">
        <v>2.3449999999999999E-2</v>
      </c>
      <c r="D569" s="33" t="s">
        <v>105</v>
      </c>
      <c r="E569" s="34" t="s">
        <v>742</v>
      </c>
      <c r="F569" s="33">
        <v>7.8280000000000003E-5</v>
      </c>
      <c r="G569" s="33">
        <v>4.7800000000000004E-3</v>
      </c>
      <c r="H569" s="33">
        <v>15.89</v>
      </c>
      <c r="I569" s="34" t="s">
        <v>132</v>
      </c>
      <c r="J569" s="19">
        <f t="shared" si="31"/>
        <v>1.4859250713568088E-5</v>
      </c>
    </row>
    <row r="570" spans="1:10" x14ac:dyDescent="0.15">
      <c r="A570" s="34" t="s">
        <v>131</v>
      </c>
      <c r="B570" s="34" t="s">
        <v>925</v>
      </c>
      <c r="C570" s="34">
        <v>2.3449999999999999E-2</v>
      </c>
      <c r="D570" s="33" t="s">
        <v>103</v>
      </c>
      <c r="E570" s="34" t="s">
        <v>742</v>
      </c>
      <c r="F570" s="33">
        <v>2.5260000000000002E-5</v>
      </c>
      <c r="G570" s="33">
        <v>5.7499999999999999E-3</v>
      </c>
      <c r="H570" s="33">
        <v>16.149999999999999</v>
      </c>
      <c r="I570" s="34" t="s">
        <v>132</v>
      </c>
      <c r="J570" s="19">
        <f t="shared" si="31"/>
        <v>3.9808300583815939E-6</v>
      </c>
    </row>
    <row r="571" spans="1:10" x14ac:dyDescent="0.15">
      <c r="A571" s="34" t="s">
        <v>131</v>
      </c>
      <c r="B571" s="34" t="s">
        <v>925</v>
      </c>
      <c r="C571" s="34">
        <v>2.3449999999999999E-2</v>
      </c>
      <c r="D571" s="33" t="s">
        <v>102</v>
      </c>
      <c r="E571" s="34" t="s">
        <v>742</v>
      </c>
      <c r="F571" s="33">
        <v>6.7799999999999995E-5</v>
      </c>
      <c r="G571" s="33">
        <v>6.5100000000000002E-3</v>
      </c>
      <c r="H571" s="33">
        <v>15.63</v>
      </c>
      <c r="I571" s="34" t="s">
        <v>132</v>
      </c>
      <c r="J571" s="19">
        <f t="shared" si="31"/>
        <v>9.4619114895779421E-6</v>
      </c>
    </row>
    <row r="572" spans="1:10" x14ac:dyDescent="0.15">
      <c r="A572" s="34" t="s">
        <v>131</v>
      </c>
      <c r="B572" s="34" t="s">
        <v>925</v>
      </c>
      <c r="C572" s="34">
        <v>2.3449999999999999E-2</v>
      </c>
      <c r="D572" s="33" t="s">
        <v>104</v>
      </c>
      <c r="E572" s="34" t="s">
        <v>742</v>
      </c>
      <c r="F572" s="33">
        <v>7.8299999999999996E-6</v>
      </c>
      <c r="G572" s="33">
        <v>4.79E-3</v>
      </c>
      <c r="H572" s="33">
        <v>10.92</v>
      </c>
      <c r="I572" s="34" t="s">
        <v>132</v>
      </c>
      <c r="J572" s="19">
        <f t="shared" si="31"/>
        <v>1.5142040058013134E-6</v>
      </c>
    </row>
    <row r="573" spans="1:10" s="22" customFormat="1" x14ac:dyDescent="0.15">
      <c r="A573" s="33" t="s">
        <v>131</v>
      </c>
      <c r="B573" s="34" t="s">
        <v>925</v>
      </c>
      <c r="C573" s="33">
        <v>2.3449999999999999E-2</v>
      </c>
      <c r="D573" s="33" t="s">
        <v>143</v>
      </c>
      <c r="E573" s="33" t="s">
        <v>743</v>
      </c>
      <c r="F573" s="33">
        <v>2.2200000000000003E-6</v>
      </c>
      <c r="G573" s="33">
        <v>2.3599999999999997E-3</v>
      </c>
      <c r="H573" s="33">
        <v>0</v>
      </c>
      <c r="I573" s="33" t="s">
        <v>132</v>
      </c>
      <c r="J573" s="22">
        <f t="shared" si="31"/>
        <v>8.8743204349216526E-7</v>
      </c>
    </row>
    <row r="574" spans="1:10" x14ac:dyDescent="0.15">
      <c r="A574" s="34" t="s">
        <v>131</v>
      </c>
      <c r="B574" s="34" t="s">
        <v>925</v>
      </c>
      <c r="C574" s="34">
        <v>2.3449999999999999E-2</v>
      </c>
      <c r="D574" s="33" t="s">
        <v>144</v>
      </c>
      <c r="E574" s="33" t="s">
        <v>743</v>
      </c>
      <c r="F574" s="33">
        <v>4.2170000000000005E-5</v>
      </c>
      <c r="G574" s="33">
        <v>5.28E-3</v>
      </c>
      <c r="H574" s="33">
        <v>16.579999999999998</v>
      </c>
      <c r="I574" s="34" t="s">
        <v>132</v>
      </c>
      <c r="J574" s="19">
        <f t="shared" si="31"/>
        <v>7.2213882694312428E-6</v>
      </c>
    </row>
    <row r="575" spans="1:10" x14ac:dyDescent="0.15">
      <c r="A575" s="34" t="s">
        <v>131</v>
      </c>
      <c r="B575" s="34" t="s">
        <v>925</v>
      </c>
      <c r="C575" s="34">
        <v>2.3449999999999999E-2</v>
      </c>
      <c r="D575" s="33" t="s">
        <v>130</v>
      </c>
      <c r="E575" s="33" t="s">
        <v>743</v>
      </c>
      <c r="F575" s="33">
        <v>8.2300000000000008E-6</v>
      </c>
      <c r="G575" s="33">
        <v>5.0400000000000002E-3</v>
      </c>
      <c r="H575" s="33">
        <v>12.39</v>
      </c>
      <c r="I575" s="34" t="s">
        <v>132</v>
      </c>
      <c r="J575" s="19">
        <f t="shared" si="31"/>
        <v>1.5046273538801951E-6</v>
      </c>
    </row>
    <row r="576" spans="1:10" x14ac:dyDescent="0.15">
      <c r="A576" s="34" t="s">
        <v>131</v>
      </c>
      <c r="B576" s="34" t="s">
        <v>925</v>
      </c>
      <c r="C576" s="34">
        <v>2.3449999999999999E-2</v>
      </c>
      <c r="D576" s="33" t="s">
        <v>145</v>
      </c>
      <c r="E576" s="33" t="s">
        <v>743</v>
      </c>
      <c r="F576" s="33">
        <v>1.44E-6</v>
      </c>
      <c r="G576" s="33">
        <v>3.8599999999999997E-3</v>
      </c>
      <c r="H576" s="33">
        <v>9.56</v>
      </c>
      <c r="I576" s="34" t="s">
        <v>132</v>
      </c>
      <c r="J576" s="19">
        <f t="shared" si="31"/>
        <v>3.4705288923481408E-7</v>
      </c>
    </row>
    <row r="577" spans="1:10" x14ac:dyDescent="0.15">
      <c r="A577" s="34" t="s">
        <v>131</v>
      </c>
      <c r="B577" s="34" t="s">
        <v>925</v>
      </c>
      <c r="C577" s="34">
        <v>2.3449999999999999E-2</v>
      </c>
      <c r="D577" s="33" t="s">
        <v>107</v>
      </c>
      <c r="E577" s="33" t="s">
        <v>743</v>
      </c>
      <c r="F577" s="33">
        <v>3.3890000000000002E-5</v>
      </c>
      <c r="G577" s="33">
        <v>4.2500000000000003E-3</v>
      </c>
      <c r="H577" s="33">
        <v>14.24</v>
      </c>
      <c r="I577" s="34" t="s">
        <v>132</v>
      </c>
      <c r="J577" s="19">
        <f t="shared" si="31"/>
        <v>7.2916073267267605E-6</v>
      </c>
    </row>
    <row r="578" spans="1:10" x14ac:dyDescent="0.15">
      <c r="A578" s="34" t="s">
        <v>131</v>
      </c>
      <c r="B578" s="34" t="s">
        <v>925</v>
      </c>
      <c r="C578" s="34">
        <v>2.3449999999999999E-2</v>
      </c>
      <c r="D578" s="33" t="s">
        <v>106</v>
      </c>
      <c r="E578" s="33" t="s">
        <v>743</v>
      </c>
      <c r="F578" s="33">
        <v>7.2000000000000002E-5</v>
      </c>
      <c r="G578" s="33">
        <v>4.4900000000000001E-3</v>
      </c>
      <c r="H578" s="33">
        <v>17.28</v>
      </c>
      <c r="I578" s="34" t="s">
        <v>132</v>
      </c>
      <c r="J578" s="19">
        <f t="shared" si="31"/>
        <v>1.4445150065503697E-5</v>
      </c>
    </row>
    <row r="579" spans="1:10" x14ac:dyDescent="0.15">
      <c r="A579" s="34" t="s">
        <v>131</v>
      </c>
      <c r="B579" s="34" t="s">
        <v>925</v>
      </c>
      <c r="C579" s="34">
        <v>2.3449999999999999E-2</v>
      </c>
      <c r="D579" s="33" t="s">
        <v>146</v>
      </c>
      <c r="E579" s="33" t="s">
        <v>743</v>
      </c>
      <c r="F579" s="33">
        <v>6.5799999999999997E-6</v>
      </c>
      <c r="G579" s="33">
        <v>4.4299999999999999E-3</v>
      </c>
      <c r="H579" s="33">
        <v>11.43</v>
      </c>
      <c r="I579" s="34" t="s">
        <v>132</v>
      </c>
      <c r="J579" s="19">
        <f t="shared" si="31"/>
        <v>1.3734619149014556E-6</v>
      </c>
    </row>
    <row r="580" spans="1:10" x14ac:dyDescent="0.15">
      <c r="A580" s="34" t="s">
        <v>131</v>
      </c>
      <c r="B580" s="34" t="s">
        <v>925</v>
      </c>
      <c r="C580" s="34">
        <v>2.3449999999999999E-2</v>
      </c>
      <c r="D580" s="33" t="s">
        <v>147</v>
      </c>
      <c r="E580" s="33" t="s">
        <v>743</v>
      </c>
      <c r="F580" s="33">
        <v>1.3349999999999999E-5</v>
      </c>
      <c r="G580" s="33">
        <v>3.4100000000000003E-3</v>
      </c>
      <c r="H580" s="33">
        <v>17.100000000000001</v>
      </c>
      <c r="I580" s="34" t="s">
        <v>132</v>
      </c>
      <c r="J580" s="19">
        <f t="shared" si="31"/>
        <v>3.5300826502400557E-6</v>
      </c>
    </row>
    <row r="581" spans="1:10" x14ac:dyDescent="0.15">
      <c r="A581" s="34" t="s">
        <v>131</v>
      </c>
      <c r="B581" s="34" t="s">
        <v>925</v>
      </c>
      <c r="C581" s="34">
        <v>2.3449999999999999E-2</v>
      </c>
      <c r="D581" s="33" t="s">
        <v>128</v>
      </c>
      <c r="E581" s="33" t="s">
        <v>743</v>
      </c>
      <c r="F581" s="33">
        <v>2.8780000000000002E-5</v>
      </c>
      <c r="G581" s="33">
        <v>3.7400000000000003E-3</v>
      </c>
      <c r="H581" s="33">
        <v>15.2</v>
      </c>
      <c r="I581" s="34" t="s">
        <v>132</v>
      </c>
      <c r="J581" s="19">
        <f t="shared" si="31"/>
        <v>7.0056439085140558E-6</v>
      </c>
    </row>
    <row r="582" spans="1:10" x14ac:dyDescent="0.15">
      <c r="A582" s="34" t="s">
        <v>131</v>
      </c>
      <c r="B582" s="34" t="s">
        <v>925</v>
      </c>
      <c r="C582" s="34">
        <v>2.3449999999999999E-2</v>
      </c>
      <c r="D582" s="33" t="s">
        <v>148</v>
      </c>
      <c r="E582" s="33" t="s">
        <v>743</v>
      </c>
      <c r="F582" s="33">
        <v>6.9400000000000005E-6</v>
      </c>
      <c r="G582" s="33">
        <v>3.0299999999999997E-3</v>
      </c>
      <c r="H582" s="33">
        <v>15.44</v>
      </c>
      <c r="I582" s="34" t="s">
        <v>132</v>
      </c>
      <c r="J582" s="19">
        <f t="shared" si="31"/>
        <v>2.0827990057156305E-6</v>
      </c>
    </row>
    <row r="583" spans="1:10" x14ac:dyDescent="0.15">
      <c r="A583" s="34" t="s">
        <v>131</v>
      </c>
      <c r="B583" s="34" t="s">
        <v>925</v>
      </c>
      <c r="C583" s="34">
        <v>2.3449999999999999E-2</v>
      </c>
      <c r="D583" s="33" t="s">
        <v>109</v>
      </c>
      <c r="E583" s="33" t="s">
        <v>743</v>
      </c>
      <c r="F583" s="33">
        <v>8.6199999999999988E-6</v>
      </c>
      <c r="G583" s="33">
        <v>3.6800000000000001E-3</v>
      </c>
      <c r="H583" s="33">
        <v>14.9</v>
      </c>
      <c r="I583" s="34" t="s">
        <v>132</v>
      </c>
      <c r="J583" s="19">
        <f t="shared" si="31"/>
        <v>2.1355008725773833E-6</v>
      </c>
    </row>
    <row r="584" spans="1:10" x14ac:dyDescent="0.15">
      <c r="A584" s="34" t="s">
        <v>131</v>
      </c>
      <c r="B584" s="34" t="s">
        <v>925</v>
      </c>
      <c r="C584" s="34">
        <v>2.3449999999999999E-2</v>
      </c>
      <c r="D584" s="33" t="s">
        <v>149</v>
      </c>
      <c r="E584" s="33" t="s">
        <v>743</v>
      </c>
      <c r="F584" s="33">
        <v>3.19E-6</v>
      </c>
      <c r="G584" s="33">
        <v>2.8300000000000001E-3</v>
      </c>
      <c r="H584" s="33">
        <v>11.46</v>
      </c>
      <c r="I584" s="34" t="s">
        <v>132</v>
      </c>
      <c r="J584" s="19">
        <f t="shared" si="31"/>
        <v>1.042203829027487E-6</v>
      </c>
    </row>
    <row r="585" spans="1:10" x14ac:dyDescent="0.15">
      <c r="A585" s="34" t="s">
        <v>131</v>
      </c>
      <c r="B585" s="34" t="s">
        <v>925</v>
      </c>
      <c r="C585" s="34">
        <v>2.3449999999999999E-2</v>
      </c>
      <c r="D585" s="33" t="s">
        <v>150</v>
      </c>
      <c r="E585" s="33" t="s">
        <v>743</v>
      </c>
      <c r="F585" s="33">
        <v>5.49E-6</v>
      </c>
      <c r="G585" s="33">
        <v>4.0599999999999994E-3</v>
      </c>
      <c r="H585" s="33">
        <v>12.46</v>
      </c>
      <c r="I585" s="34" t="s">
        <v>132</v>
      </c>
      <c r="J585" s="19">
        <f t="shared" si="31"/>
        <v>1.2456300144710986E-6</v>
      </c>
    </row>
    <row r="586" spans="1:10" x14ac:dyDescent="0.15">
      <c r="A586" s="34" t="s">
        <v>131</v>
      </c>
      <c r="B586" s="34" t="s">
        <v>925</v>
      </c>
      <c r="C586" s="34">
        <v>2.3449999999999999E-2</v>
      </c>
      <c r="D586" s="33" t="s">
        <v>151</v>
      </c>
      <c r="E586" s="33" t="s">
        <v>743</v>
      </c>
      <c r="F586" s="33">
        <v>1.55E-6</v>
      </c>
      <c r="G586" s="33">
        <v>2.7000000000000001E-3</v>
      </c>
      <c r="H586" s="33">
        <v>12.42</v>
      </c>
      <c r="I586" s="34" t="s">
        <v>132</v>
      </c>
      <c r="J586" s="19">
        <f t="shared" si="31"/>
        <v>5.2890487637977922E-7</v>
      </c>
    </row>
    <row r="587" spans="1:10" x14ac:dyDescent="0.15">
      <c r="A587" s="34" t="s">
        <v>131</v>
      </c>
      <c r="B587" s="34" t="s">
        <v>925</v>
      </c>
      <c r="C587" s="34">
        <v>2.3449999999999999E-2</v>
      </c>
      <c r="D587" s="33" t="s">
        <v>152</v>
      </c>
      <c r="E587" s="33" t="s">
        <v>743</v>
      </c>
      <c r="F587" s="33">
        <v>1.3E-6</v>
      </c>
      <c r="G587" s="33">
        <v>3.3799999999999998E-3</v>
      </c>
      <c r="H587" s="33">
        <v>9.44</v>
      </c>
      <c r="I587" s="34" t="s">
        <v>132</v>
      </c>
      <c r="J587" s="19">
        <f t="shared" si="31"/>
        <v>3.5793102255543696E-7</v>
      </c>
    </row>
    <row r="588" spans="1:10" x14ac:dyDescent="0.15">
      <c r="A588" s="25" t="s">
        <v>153</v>
      </c>
      <c r="B588" s="25" t="s">
        <v>925</v>
      </c>
      <c r="C588" s="25">
        <v>510</v>
      </c>
      <c r="D588" s="24" t="s">
        <v>138</v>
      </c>
      <c r="E588" s="25" t="s">
        <v>742</v>
      </c>
      <c r="F588" s="24">
        <v>1.1819999999999999</v>
      </c>
      <c r="G588" s="24">
        <v>0.19800000000000001</v>
      </c>
      <c r="H588" s="24">
        <v>29</v>
      </c>
      <c r="I588" s="25" t="s">
        <v>154</v>
      </c>
      <c r="J588" s="19">
        <f t="shared" si="31"/>
        <v>4.9256741654219822E-3</v>
      </c>
    </row>
    <row r="589" spans="1:10" x14ac:dyDescent="0.15">
      <c r="A589" s="25" t="s">
        <v>153</v>
      </c>
      <c r="B589" s="25" t="s">
        <v>925</v>
      </c>
      <c r="C589" s="25">
        <v>510</v>
      </c>
      <c r="D589" s="24" t="s">
        <v>139</v>
      </c>
      <c r="E589" s="25" t="s">
        <v>742</v>
      </c>
      <c r="F589" s="24">
        <v>0.432</v>
      </c>
      <c r="G589" s="24">
        <v>6.7000000000000004E-2</v>
      </c>
      <c r="H589" s="24">
        <v>37</v>
      </c>
      <c r="I589" s="25" t="s">
        <v>154</v>
      </c>
      <c r="J589" s="19">
        <f t="shared" si="31"/>
        <v>4.8579349526954438E-3</v>
      </c>
    </row>
    <row r="590" spans="1:10" x14ac:dyDescent="0.15">
      <c r="A590" s="25" t="s">
        <v>153</v>
      </c>
      <c r="B590" s="25" t="s">
        <v>925</v>
      </c>
      <c r="C590" s="25">
        <v>510</v>
      </c>
      <c r="D590" s="24" t="s">
        <v>140</v>
      </c>
      <c r="E590" s="25" t="s">
        <v>742</v>
      </c>
      <c r="F590" s="24">
        <v>1.395</v>
      </c>
      <c r="G590" s="24">
        <v>0.24399999999999999</v>
      </c>
      <c r="H590" s="24">
        <v>26</v>
      </c>
      <c r="I590" s="25" t="s">
        <v>154</v>
      </c>
      <c r="J590" s="19">
        <f t="shared" si="31"/>
        <v>4.8477331216646227E-3</v>
      </c>
    </row>
    <row r="591" spans="1:10" x14ac:dyDescent="0.15">
      <c r="A591" s="25" t="s">
        <v>153</v>
      </c>
      <c r="B591" s="25" t="s">
        <v>925</v>
      </c>
      <c r="C591" s="25">
        <v>510</v>
      </c>
      <c r="D591" s="24" t="s">
        <v>96</v>
      </c>
      <c r="E591" s="25" t="s">
        <v>742</v>
      </c>
      <c r="F591" s="24">
        <v>0.64600000000000002</v>
      </c>
      <c r="G591" s="24">
        <v>0.10199999999999999</v>
      </c>
      <c r="H591" s="24">
        <v>36</v>
      </c>
      <c r="I591" s="25" t="s">
        <v>154</v>
      </c>
      <c r="J591" s="19">
        <f t="shared" si="31"/>
        <v>4.8337493374603782E-3</v>
      </c>
    </row>
    <row r="592" spans="1:10" x14ac:dyDescent="0.15">
      <c r="A592" s="25" t="s">
        <v>153</v>
      </c>
      <c r="B592" s="25" t="s">
        <v>925</v>
      </c>
      <c r="C592" s="25">
        <v>510</v>
      </c>
      <c r="D592" s="24" t="s">
        <v>155</v>
      </c>
      <c r="E592" s="25" t="s">
        <v>742</v>
      </c>
      <c r="F592" s="24">
        <v>8.577</v>
      </c>
      <c r="G592" s="24">
        <v>0.20300000000000001</v>
      </c>
      <c r="H592" s="24">
        <v>28</v>
      </c>
      <c r="I592" s="25" t="s">
        <v>154</v>
      </c>
      <c r="J592" s="19">
        <f t="shared" si="31"/>
        <v>3.5193984124691033E-2</v>
      </c>
    </row>
    <row r="593" spans="1:10" x14ac:dyDescent="0.15">
      <c r="A593" s="25" t="s">
        <v>153</v>
      </c>
      <c r="B593" s="25" t="s">
        <v>925</v>
      </c>
      <c r="C593" s="25">
        <v>510</v>
      </c>
      <c r="D593" s="24" t="s">
        <v>97</v>
      </c>
      <c r="E593" s="25" t="s">
        <v>742</v>
      </c>
      <c r="F593" s="24">
        <v>1.351</v>
      </c>
      <c r="G593" s="24">
        <v>0.11799999999999999</v>
      </c>
      <c r="H593" s="24">
        <v>30</v>
      </c>
      <c r="I593" s="25" t="s">
        <v>154</v>
      </c>
      <c r="J593" s="19">
        <f t="shared" si="31"/>
        <v>9.3540159938661389E-3</v>
      </c>
    </row>
    <row r="594" spans="1:10" x14ac:dyDescent="0.15">
      <c r="A594" s="25" t="s">
        <v>153</v>
      </c>
      <c r="B594" s="25" t="s">
        <v>925</v>
      </c>
      <c r="C594" s="25">
        <v>510</v>
      </c>
      <c r="D594" s="24" t="s">
        <v>121</v>
      </c>
      <c r="E594" s="25" t="s">
        <v>742</v>
      </c>
      <c r="F594" s="24">
        <v>1.448</v>
      </c>
      <c r="G594" s="24">
        <v>9.7000000000000003E-2</v>
      </c>
      <c r="H594" s="24">
        <v>34</v>
      </c>
      <c r="I594" s="25" t="s">
        <v>154</v>
      </c>
      <c r="J594" s="19">
        <f t="shared" si="31"/>
        <v>1.1675222768524606E-2</v>
      </c>
    </row>
    <row r="595" spans="1:10" x14ac:dyDescent="0.15">
      <c r="A595" s="25" t="s">
        <v>153</v>
      </c>
      <c r="B595" s="25" t="s">
        <v>925</v>
      </c>
      <c r="C595" s="25">
        <v>510</v>
      </c>
      <c r="D595" s="24" t="s">
        <v>156</v>
      </c>
      <c r="E595" s="25" t="s">
        <v>742</v>
      </c>
      <c r="F595" s="24">
        <v>0.87</v>
      </c>
      <c r="G595" s="24">
        <v>0.23499999999999999</v>
      </c>
      <c r="H595" s="24">
        <v>27</v>
      </c>
      <c r="I595" s="25" t="s">
        <v>154</v>
      </c>
      <c r="J595" s="19">
        <f t="shared" si="31"/>
        <v>3.1119055642066643E-3</v>
      </c>
    </row>
    <row r="596" spans="1:10" x14ac:dyDescent="0.15">
      <c r="A596" s="25" t="s">
        <v>153</v>
      </c>
      <c r="B596" s="25" t="s">
        <v>925</v>
      </c>
      <c r="C596" s="25">
        <v>510</v>
      </c>
      <c r="D596" s="24" t="s">
        <v>157</v>
      </c>
      <c r="E596" s="25" t="s">
        <v>742</v>
      </c>
      <c r="F596" s="24">
        <v>6.1120000000000001</v>
      </c>
      <c r="G596" s="24">
        <v>0.25800000000000001</v>
      </c>
      <c r="H596" s="24">
        <v>37</v>
      </c>
      <c r="I596" s="25" t="s">
        <v>154</v>
      </c>
      <c r="J596" s="19">
        <f t="shared" si="31"/>
        <v>1.7848691814425381E-2</v>
      </c>
    </row>
    <row r="597" spans="1:10" x14ac:dyDescent="0.15">
      <c r="A597" s="25" t="s">
        <v>153</v>
      </c>
      <c r="B597" s="25" t="s">
        <v>925</v>
      </c>
      <c r="C597" s="25">
        <v>510</v>
      </c>
      <c r="D597" s="24" t="s">
        <v>158</v>
      </c>
      <c r="E597" s="25" t="s">
        <v>742</v>
      </c>
      <c r="F597" s="24">
        <v>0.94599999999999995</v>
      </c>
      <c r="G597" s="24">
        <v>0.245</v>
      </c>
      <c r="H597" s="24">
        <v>39</v>
      </c>
      <c r="I597" s="25" t="s">
        <v>154</v>
      </c>
      <c r="J597" s="19">
        <f t="shared" si="31"/>
        <v>2.8308820929468406E-3</v>
      </c>
    </row>
    <row r="598" spans="1:10" x14ac:dyDescent="0.15">
      <c r="A598" s="25" t="s">
        <v>153</v>
      </c>
      <c r="B598" s="25" t="s">
        <v>925</v>
      </c>
      <c r="C598" s="25">
        <v>510</v>
      </c>
      <c r="D598" s="24" t="s">
        <v>159</v>
      </c>
      <c r="E598" s="25" t="s">
        <v>742</v>
      </c>
      <c r="F598" s="24">
        <v>2.6840000000000002</v>
      </c>
      <c r="G598" s="24">
        <v>0.27400000000000002</v>
      </c>
      <c r="H598" s="24">
        <v>28</v>
      </c>
      <c r="I598" s="25" t="s">
        <v>154</v>
      </c>
      <c r="J598" s="19">
        <f t="shared" si="31"/>
        <v>8.1594523455218292E-3</v>
      </c>
    </row>
    <row r="599" spans="1:10" x14ac:dyDescent="0.15">
      <c r="A599" s="25" t="s">
        <v>153</v>
      </c>
      <c r="B599" s="25" t="s">
        <v>925</v>
      </c>
      <c r="C599" s="25">
        <v>510</v>
      </c>
      <c r="D599" s="24" t="s">
        <v>160</v>
      </c>
      <c r="E599" s="25" t="s">
        <v>742</v>
      </c>
      <c r="F599" s="24">
        <v>1.7270000000000001</v>
      </c>
      <c r="G599" s="24">
        <v>0.312</v>
      </c>
      <c r="H599" s="24">
        <v>35</v>
      </c>
      <c r="I599" s="25" t="s">
        <v>154</v>
      </c>
      <c r="J599" s="19">
        <f t="shared" si="31"/>
        <v>4.277562834080457E-3</v>
      </c>
    </row>
    <row r="600" spans="1:10" x14ac:dyDescent="0.15">
      <c r="A600" s="25" t="s">
        <v>153</v>
      </c>
      <c r="B600" s="25" t="s">
        <v>925</v>
      </c>
      <c r="C600" s="25">
        <v>510</v>
      </c>
      <c r="D600" s="24" t="s">
        <v>98</v>
      </c>
      <c r="E600" s="25" t="s">
        <v>742</v>
      </c>
      <c r="F600" s="24">
        <v>3.8340000000000001</v>
      </c>
      <c r="G600" s="24">
        <v>0.34200000000000003</v>
      </c>
      <c r="H600" s="24">
        <v>35</v>
      </c>
      <c r="I600" s="25" t="s">
        <v>154</v>
      </c>
      <c r="J600" s="19">
        <f t="shared" si="31"/>
        <v>8.6633259897495145E-3</v>
      </c>
    </row>
    <row r="601" spans="1:10" x14ac:dyDescent="0.15">
      <c r="A601" s="25" t="s">
        <v>153</v>
      </c>
      <c r="B601" s="25" t="s">
        <v>925</v>
      </c>
      <c r="C601" s="25">
        <v>510</v>
      </c>
      <c r="D601" s="24" t="s">
        <v>100</v>
      </c>
      <c r="E601" s="25" t="s">
        <v>742</v>
      </c>
      <c r="F601" s="24">
        <v>1.76</v>
      </c>
      <c r="G601" s="24">
        <v>0.123</v>
      </c>
      <c r="H601" s="24">
        <v>31</v>
      </c>
      <c r="I601" s="25" t="s">
        <v>154</v>
      </c>
      <c r="J601" s="19">
        <f t="shared" si="31"/>
        <v>1.1570903890441154E-2</v>
      </c>
    </row>
    <row r="602" spans="1:10" x14ac:dyDescent="0.15">
      <c r="A602" s="25" t="s">
        <v>153</v>
      </c>
      <c r="B602" s="25" t="s">
        <v>925</v>
      </c>
      <c r="C602" s="25">
        <v>510</v>
      </c>
      <c r="D602" s="24" t="s">
        <v>101</v>
      </c>
      <c r="E602" s="25" t="s">
        <v>742</v>
      </c>
      <c r="F602" s="24">
        <v>0.48399999999999999</v>
      </c>
      <c r="G602" s="24">
        <v>0.376</v>
      </c>
      <c r="H602" s="24">
        <v>21</v>
      </c>
      <c r="I602" s="25" t="s">
        <v>154</v>
      </c>
      <c r="J602" s="19">
        <f t="shared" si="31"/>
        <v>1.1337136853287978E-3</v>
      </c>
    </row>
    <row r="603" spans="1:10" x14ac:dyDescent="0.15">
      <c r="A603" s="25" t="s">
        <v>153</v>
      </c>
      <c r="B603" s="25" t="s">
        <v>925</v>
      </c>
      <c r="C603" s="25">
        <v>510</v>
      </c>
      <c r="D603" s="24" t="s">
        <v>99</v>
      </c>
      <c r="E603" s="25" t="s">
        <v>742</v>
      </c>
      <c r="F603" s="24">
        <v>3.9239999999999999</v>
      </c>
      <c r="G603" s="24">
        <v>0.17599999999999999</v>
      </c>
      <c r="H603" s="24">
        <v>35</v>
      </c>
      <c r="I603" s="25" t="s">
        <v>154</v>
      </c>
      <c r="J603" s="19">
        <f t="shared" si="31"/>
        <v>1.7229591669114513E-2</v>
      </c>
    </row>
    <row r="604" spans="1:10" x14ac:dyDescent="0.15">
      <c r="A604" s="25" t="s">
        <v>153</v>
      </c>
      <c r="B604" s="25" t="s">
        <v>925</v>
      </c>
      <c r="C604" s="25">
        <v>510</v>
      </c>
      <c r="D604" s="24" t="s">
        <v>119</v>
      </c>
      <c r="E604" s="25" t="s">
        <v>742</v>
      </c>
      <c r="F604" s="24">
        <v>0.44700000000000001</v>
      </c>
      <c r="G604" s="24">
        <v>7.8E-2</v>
      </c>
      <c r="H604" s="24">
        <v>29</v>
      </c>
      <c r="I604" s="25" t="s">
        <v>154</v>
      </c>
      <c r="J604" s="19">
        <f t="shared" si="31"/>
        <v>4.7285317983951367E-3</v>
      </c>
    </row>
    <row r="605" spans="1:10" x14ac:dyDescent="0.15">
      <c r="A605" s="25" t="s">
        <v>153</v>
      </c>
      <c r="B605" s="25" t="s">
        <v>925</v>
      </c>
      <c r="C605" s="25">
        <v>510</v>
      </c>
      <c r="D605" s="24" t="s">
        <v>105</v>
      </c>
      <c r="E605" s="25" t="s">
        <v>742</v>
      </c>
      <c r="F605" s="24">
        <v>2.2909999999999999</v>
      </c>
      <c r="G605" s="24">
        <v>9.8000000000000004E-2</v>
      </c>
      <c r="H605" s="24">
        <v>40</v>
      </c>
      <c r="I605" s="25" t="s">
        <v>154</v>
      </c>
      <c r="J605" s="19">
        <f t="shared" si="31"/>
        <v>1.6894568917843456E-2</v>
      </c>
    </row>
    <row r="606" spans="1:10" x14ac:dyDescent="0.15">
      <c r="A606" s="25" t="s">
        <v>153</v>
      </c>
      <c r="B606" s="25" t="s">
        <v>925</v>
      </c>
      <c r="C606" s="25">
        <v>510</v>
      </c>
      <c r="D606" s="24" t="s">
        <v>103</v>
      </c>
      <c r="E606" s="25" t="s">
        <v>742</v>
      </c>
      <c r="F606" s="24">
        <v>1.8779999999999999</v>
      </c>
      <c r="G606" s="24">
        <v>0.11899999999999999</v>
      </c>
      <c r="H606" s="24">
        <v>33</v>
      </c>
      <c r="I606" s="25" t="s">
        <v>154</v>
      </c>
      <c r="J606" s="19">
        <f t="shared" si="31"/>
        <v>1.2486311452366469E-2</v>
      </c>
    </row>
    <row r="607" spans="1:10" x14ac:dyDescent="0.15">
      <c r="A607" s="25" t="s">
        <v>153</v>
      </c>
      <c r="B607" s="25" t="s">
        <v>925</v>
      </c>
      <c r="C607" s="25">
        <v>510</v>
      </c>
      <c r="D607" s="24" t="s">
        <v>104</v>
      </c>
      <c r="E607" s="25" t="s">
        <v>742</v>
      </c>
      <c r="F607" s="24">
        <v>0.501</v>
      </c>
      <c r="G607" s="24">
        <v>0.105</v>
      </c>
      <c r="H607" s="24">
        <v>41</v>
      </c>
      <c r="I607" s="25" t="s">
        <v>154</v>
      </c>
      <c r="J607" s="19">
        <f t="shared" si="31"/>
        <v>3.3972102398167905E-3</v>
      </c>
    </row>
    <row r="608" spans="1:10" x14ac:dyDescent="0.15">
      <c r="A608" s="25" t="s">
        <v>153</v>
      </c>
      <c r="B608" s="25" t="s">
        <v>925</v>
      </c>
      <c r="C608" s="25">
        <v>510</v>
      </c>
      <c r="D608" s="24" t="s">
        <v>102</v>
      </c>
      <c r="E608" s="25" t="s">
        <v>742</v>
      </c>
      <c r="F608" s="24">
        <v>1.734</v>
      </c>
      <c r="G608" s="24">
        <v>0.155</v>
      </c>
      <c r="H608" s="24">
        <v>36</v>
      </c>
      <c r="I608" s="25" t="s">
        <v>154</v>
      </c>
      <c r="J608" s="19">
        <f t="shared" si="31"/>
        <v>8.5382560453205036E-3</v>
      </c>
    </row>
    <row r="609" spans="1:10" x14ac:dyDescent="0.15">
      <c r="A609" s="25" t="s">
        <v>153</v>
      </c>
      <c r="B609" s="25" t="s">
        <v>925</v>
      </c>
      <c r="C609" s="25">
        <v>510</v>
      </c>
      <c r="D609" s="24" t="s">
        <v>143</v>
      </c>
      <c r="E609" s="25" t="s">
        <v>743</v>
      </c>
      <c r="F609" s="24">
        <v>0.28000000000000003</v>
      </c>
      <c r="G609" s="24">
        <v>3.7999999999999999E-2</v>
      </c>
      <c r="H609" s="24">
        <v>42</v>
      </c>
      <c r="I609" s="25" t="s">
        <v>154</v>
      </c>
      <c r="J609" s="19">
        <f t="shared" si="31"/>
        <v>5.1658528086809931E-3</v>
      </c>
    </row>
    <row r="610" spans="1:10" x14ac:dyDescent="0.15">
      <c r="A610" s="25" t="s">
        <v>153</v>
      </c>
      <c r="B610" s="25" t="s">
        <v>925</v>
      </c>
      <c r="C610" s="25">
        <v>510</v>
      </c>
      <c r="D610" s="24" t="s">
        <v>107</v>
      </c>
      <c r="E610" s="25" t="s">
        <v>743</v>
      </c>
      <c r="F610" s="24">
        <v>0.81699999999999995</v>
      </c>
      <c r="G610" s="24">
        <v>4.8000000000000001E-2</v>
      </c>
      <c r="H610" s="24">
        <v>36</v>
      </c>
      <c r="I610" s="25" t="s">
        <v>154</v>
      </c>
      <c r="J610" s="19">
        <f t="shared" si="31"/>
        <v>1.2990701344424765E-2</v>
      </c>
    </row>
    <row r="611" spans="1:10" x14ac:dyDescent="0.15">
      <c r="A611" s="25" t="s">
        <v>153</v>
      </c>
      <c r="B611" s="25" t="s">
        <v>925</v>
      </c>
      <c r="C611" s="25">
        <v>510</v>
      </c>
      <c r="D611" s="24" t="s">
        <v>106</v>
      </c>
      <c r="E611" s="25" t="s">
        <v>743</v>
      </c>
      <c r="F611" s="24">
        <v>0.80800000000000005</v>
      </c>
      <c r="G611" s="24">
        <v>5.6000000000000001E-2</v>
      </c>
      <c r="H611" s="24">
        <v>34</v>
      </c>
      <c r="I611" s="25" t="s">
        <v>154</v>
      </c>
      <c r="J611" s="19">
        <f t="shared" si="31"/>
        <v>1.1284743238282912E-2</v>
      </c>
    </row>
    <row r="612" spans="1:10" x14ac:dyDescent="0.15">
      <c r="A612" s="25" t="s">
        <v>153</v>
      </c>
      <c r="B612" s="25" t="s">
        <v>925</v>
      </c>
      <c r="C612" s="25">
        <v>510</v>
      </c>
      <c r="D612" s="24" t="s">
        <v>146</v>
      </c>
      <c r="E612" s="25" t="s">
        <v>743</v>
      </c>
      <c r="F612" s="24">
        <v>6.0000000000000001E-3</v>
      </c>
      <c r="G612" s="24">
        <v>0.121</v>
      </c>
      <c r="H612" s="24">
        <v>22</v>
      </c>
      <c r="I612" s="25" t="s">
        <v>154</v>
      </c>
      <c r="J612" s="19">
        <f t="shared" si="31"/>
        <v>4.3373640475602092E-5</v>
      </c>
    </row>
    <row r="613" spans="1:10" x14ac:dyDescent="0.15">
      <c r="A613" s="25" t="s">
        <v>153</v>
      </c>
      <c r="B613" s="25" t="s">
        <v>925</v>
      </c>
      <c r="C613" s="25">
        <v>510</v>
      </c>
      <c r="D613" s="24" t="s">
        <v>111</v>
      </c>
      <c r="E613" s="25" t="s">
        <v>743</v>
      </c>
      <c r="F613" s="24">
        <v>0.111</v>
      </c>
      <c r="G613" s="24">
        <v>3.0000000000000001E-3</v>
      </c>
      <c r="H613" s="24">
        <v>52</v>
      </c>
      <c r="I613" s="25" t="s">
        <v>154</v>
      </c>
      <c r="J613" s="19">
        <f t="shared" si="31"/>
        <v>2.14900703651409E-2</v>
      </c>
    </row>
    <row r="614" spans="1:10" x14ac:dyDescent="0.15">
      <c r="A614" s="25" t="s">
        <v>153</v>
      </c>
      <c r="B614" s="25" t="s">
        <v>925</v>
      </c>
      <c r="C614" s="25">
        <v>510</v>
      </c>
      <c r="D614" s="24" t="s">
        <v>161</v>
      </c>
      <c r="E614" s="25" t="s">
        <v>743</v>
      </c>
      <c r="F614" s="24">
        <v>0.161</v>
      </c>
      <c r="G614" s="24">
        <v>7.0000000000000007E-2</v>
      </c>
      <c r="H614" s="24">
        <v>27</v>
      </c>
      <c r="I614" s="25" t="s">
        <v>154</v>
      </c>
      <c r="J614" s="19">
        <f t="shared" si="31"/>
        <v>1.9333160430502322E-3</v>
      </c>
    </row>
    <row r="615" spans="1:10" x14ac:dyDescent="0.15">
      <c r="A615" s="25" t="s">
        <v>153</v>
      </c>
      <c r="B615" s="25" t="s">
        <v>925</v>
      </c>
      <c r="C615" s="25">
        <v>510</v>
      </c>
      <c r="D615" s="24" t="s">
        <v>162</v>
      </c>
      <c r="E615" s="25" t="s">
        <v>743</v>
      </c>
      <c r="F615" s="24">
        <v>0.66</v>
      </c>
      <c r="G615" s="24">
        <v>0.01</v>
      </c>
      <c r="H615" s="24">
        <v>44</v>
      </c>
      <c r="I615" s="25" t="s">
        <v>154</v>
      </c>
      <c r="J615" s="19">
        <f t="shared" si="31"/>
        <v>4.4789081907878288E-2</v>
      </c>
    </row>
    <row r="616" spans="1:10" x14ac:dyDescent="0.15">
      <c r="A616" s="25" t="s">
        <v>153</v>
      </c>
      <c r="B616" s="25" t="s">
        <v>925</v>
      </c>
      <c r="C616" s="25">
        <v>510</v>
      </c>
      <c r="D616" s="24" t="s">
        <v>163</v>
      </c>
      <c r="E616" s="25" t="s">
        <v>743</v>
      </c>
      <c r="F616" s="24">
        <v>0.224</v>
      </c>
      <c r="G616" s="24">
        <v>5.7000000000000002E-2</v>
      </c>
      <c r="H616" s="24">
        <v>31</v>
      </c>
      <c r="I616" s="25" t="s">
        <v>154</v>
      </c>
      <c r="J616" s="19">
        <f t="shared" si="31"/>
        <v>3.1778463316331209E-3</v>
      </c>
    </row>
    <row r="617" spans="1:10" x14ac:dyDescent="0.15">
      <c r="A617" s="25" t="s">
        <v>153</v>
      </c>
      <c r="B617" s="25" t="s">
        <v>925</v>
      </c>
      <c r="C617" s="25">
        <v>510</v>
      </c>
      <c r="D617" s="24" t="s">
        <v>129</v>
      </c>
      <c r="E617" s="25" t="s">
        <v>743</v>
      </c>
      <c r="F617" s="24">
        <v>0.192</v>
      </c>
      <c r="G617" s="24">
        <v>7.0000000000000007E-2</v>
      </c>
      <c r="H617" s="24">
        <v>28</v>
      </c>
      <c r="I617" s="25" t="s">
        <v>154</v>
      </c>
      <c r="J617" s="19">
        <f t="shared" si="31"/>
        <v>2.2847161432468189E-3</v>
      </c>
    </row>
    <row r="618" spans="1:10" x14ac:dyDescent="0.15">
      <c r="A618" s="25" t="s">
        <v>153</v>
      </c>
      <c r="B618" s="25" t="s">
        <v>925</v>
      </c>
      <c r="C618" s="25">
        <v>510</v>
      </c>
      <c r="D618" s="24" t="s">
        <v>130</v>
      </c>
      <c r="E618" s="25" t="s">
        <v>743</v>
      </c>
      <c r="F618" s="24">
        <v>0.46200000000000002</v>
      </c>
      <c r="G618" s="24">
        <v>8.1000000000000003E-2</v>
      </c>
      <c r="H618" s="24">
        <v>29</v>
      </c>
      <c r="I618" s="25" t="s">
        <v>154</v>
      </c>
      <c r="J618" s="19">
        <f t="shared" si="31"/>
        <v>4.7061996820219054E-3</v>
      </c>
    </row>
    <row r="619" spans="1:10" x14ac:dyDescent="0.15">
      <c r="A619" s="25" t="s">
        <v>153</v>
      </c>
      <c r="B619" s="25" t="s">
        <v>925</v>
      </c>
      <c r="C619" s="25">
        <v>510</v>
      </c>
      <c r="D619" s="24" t="s">
        <v>108</v>
      </c>
      <c r="E619" s="25" t="s">
        <v>743</v>
      </c>
      <c r="F619" s="24">
        <v>0.309</v>
      </c>
      <c r="G619" s="24">
        <v>0.04</v>
      </c>
      <c r="H619" s="24">
        <v>41</v>
      </c>
      <c r="I619" s="25" t="s">
        <v>154</v>
      </c>
      <c r="J619" s="19">
        <f t="shared" si="31"/>
        <v>5.5001240634159568E-3</v>
      </c>
    </row>
    <row r="620" spans="1:10" x14ac:dyDescent="0.15">
      <c r="A620" s="27" t="s">
        <v>906</v>
      </c>
      <c r="B620" s="27" t="s">
        <v>925</v>
      </c>
      <c r="C620" s="27">
        <v>1.1000000000000001</v>
      </c>
      <c r="D620" s="28" t="s">
        <v>165</v>
      </c>
      <c r="E620" s="27" t="s">
        <v>742</v>
      </c>
      <c r="F620" s="28">
        <v>1.346E-2</v>
      </c>
      <c r="G620" s="28">
        <v>0.11</v>
      </c>
      <c r="H620" s="28"/>
      <c r="I620" s="27" t="s">
        <v>164</v>
      </c>
      <c r="J620" s="19">
        <v>1.15437E-4</v>
      </c>
    </row>
    <row r="621" spans="1:10" x14ac:dyDescent="0.15">
      <c r="A621" s="27" t="s">
        <v>906</v>
      </c>
      <c r="B621" s="27" t="s">
        <v>925</v>
      </c>
      <c r="C621" s="27">
        <v>1.1000000000000001</v>
      </c>
      <c r="D621" s="28" t="s">
        <v>166</v>
      </c>
      <c r="E621" s="27" t="s">
        <v>742</v>
      </c>
      <c r="F621" s="28">
        <v>2.6640000000000001E-3</v>
      </c>
      <c r="G621" s="28">
        <v>0.12833333299999999</v>
      </c>
      <c r="H621" s="28"/>
      <c r="I621" s="27" t="s">
        <v>164</v>
      </c>
      <c r="J621" s="19">
        <v>1.95834E-5</v>
      </c>
    </row>
    <row r="622" spans="1:10" x14ac:dyDescent="0.15">
      <c r="A622" s="27" t="s">
        <v>906</v>
      </c>
      <c r="B622" s="27" t="s">
        <v>925</v>
      </c>
      <c r="C622" s="27">
        <v>1.1000000000000001</v>
      </c>
      <c r="D622" s="28" t="s">
        <v>167</v>
      </c>
      <c r="E622" s="27" t="s">
        <v>742</v>
      </c>
      <c r="F622" s="28">
        <v>3.6879999999999999E-3</v>
      </c>
      <c r="G622" s="28">
        <v>0.10125000000000001</v>
      </c>
      <c r="H622" s="28"/>
      <c r="I622" s="27" t="s">
        <v>164</v>
      </c>
      <c r="J622" s="19">
        <v>3.4362900000000003E-5</v>
      </c>
    </row>
    <row r="623" spans="1:10" x14ac:dyDescent="0.15">
      <c r="A623" s="27" t="s">
        <v>906</v>
      </c>
      <c r="B623" s="27" t="s">
        <v>925</v>
      </c>
      <c r="C623" s="27">
        <v>1.1000000000000001</v>
      </c>
      <c r="D623" s="28" t="s">
        <v>168</v>
      </c>
      <c r="E623" s="27" t="s">
        <v>742</v>
      </c>
      <c r="F623" s="28">
        <v>1.9300000000000001E-3</v>
      </c>
      <c r="G623" s="28">
        <v>3.5999999999999997E-2</v>
      </c>
      <c r="H623" s="28"/>
      <c r="I623" s="27" t="s">
        <v>164</v>
      </c>
      <c r="J623" s="19">
        <v>5.0576499999999999E-5</v>
      </c>
    </row>
    <row r="624" spans="1:10" x14ac:dyDescent="0.15">
      <c r="A624" s="27" t="s">
        <v>906</v>
      </c>
      <c r="B624" s="27" t="s">
        <v>925</v>
      </c>
      <c r="C624" s="27">
        <v>1.1000000000000001</v>
      </c>
      <c r="D624" s="28" t="s">
        <v>169</v>
      </c>
      <c r="E624" s="27" t="s">
        <v>742</v>
      </c>
      <c r="F624" s="28">
        <v>9.2750000000000003E-3</v>
      </c>
      <c r="G624" s="28">
        <v>2.5000000000000001E-2</v>
      </c>
      <c r="H624" s="28"/>
      <c r="I624" s="27" t="s">
        <v>164</v>
      </c>
      <c r="J624" s="19">
        <v>2.4748700000000001E-4</v>
      </c>
    </row>
    <row r="625" spans="1:10" x14ac:dyDescent="0.15">
      <c r="A625" s="27" t="s">
        <v>906</v>
      </c>
      <c r="B625" s="27" t="s">
        <v>925</v>
      </c>
      <c r="C625" s="27">
        <v>1.1000000000000001</v>
      </c>
      <c r="D625" s="28" t="s">
        <v>170</v>
      </c>
      <c r="E625" s="27" t="s">
        <v>742</v>
      </c>
      <c r="F625" s="28">
        <v>5.7819999999999998E-3</v>
      </c>
      <c r="G625" s="28">
        <v>1.8666667000000001E-2</v>
      </c>
      <c r="H625" s="28"/>
      <c r="I625" s="27" t="s">
        <v>164</v>
      </c>
      <c r="J625" s="19">
        <v>2.5619400000000001E-4</v>
      </c>
    </row>
    <row r="626" spans="1:10" x14ac:dyDescent="0.15">
      <c r="A626" s="27" t="s">
        <v>906</v>
      </c>
      <c r="B626" s="27" t="s">
        <v>925</v>
      </c>
      <c r="C626" s="27">
        <v>1.1000000000000001</v>
      </c>
      <c r="D626" s="28" t="s">
        <v>171</v>
      </c>
      <c r="E626" s="27" t="s">
        <v>742</v>
      </c>
      <c r="F626" s="28">
        <v>3.679E-3</v>
      </c>
      <c r="G626" s="28">
        <v>2.5999999999999999E-2</v>
      </c>
      <c r="H626" s="28"/>
      <c r="I626" s="27" t="s">
        <v>164</v>
      </c>
      <c r="J626" s="19">
        <v>1.09349E-4</v>
      </c>
    </row>
    <row r="627" spans="1:10" x14ac:dyDescent="0.15">
      <c r="A627" s="27" t="s">
        <v>906</v>
      </c>
      <c r="B627" s="27" t="s">
        <v>925</v>
      </c>
      <c r="C627" s="27">
        <v>1.1000000000000001</v>
      </c>
      <c r="D627" s="28" t="s">
        <v>172</v>
      </c>
      <c r="E627" s="27" t="s">
        <v>742</v>
      </c>
      <c r="F627" s="28">
        <v>1.7700000000000001E-3</v>
      </c>
      <c r="G627" s="28">
        <v>8.0000000000000002E-3</v>
      </c>
      <c r="H627" s="28"/>
      <c r="I627" s="27" t="s">
        <v>164</v>
      </c>
      <c r="J627" s="19">
        <v>1.70979E-4</v>
      </c>
    </row>
    <row r="628" spans="1:10" x14ac:dyDescent="0.15">
      <c r="A628" s="27" t="s">
        <v>906</v>
      </c>
      <c r="B628" s="27" t="s">
        <v>925</v>
      </c>
      <c r="C628" s="27">
        <v>1.1000000000000001</v>
      </c>
      <c r="D628" s="28" t="s">
        <v>173</v>
      </c>
      <c r="E628" s="27" t="s">
        <v>742</v>
      </c>
      <c r="F628" s="28">
        <v>3.251E-3</v>
      </c>
      <c r="G628" s="28">
        <v>9.8000000000000004E-2</v>
      </c>
      <c r="H628" s="28"/>
      <c r="I628" s="27" t="s">
        <v>164</v>
      </c>
      <c r="J628" s="19">
        <v>3.1295699999999999E-5</v>
      </c>
    </row>
    <row r="629" spans="1:10" x14ac:dyDescent="0.15">
      <c r="A629" s="27" t="s">
        <v>906</v>
      </c>
      <c r="B629" s="27" t="s">
        <v>925</v>
      </c>
      <c r="C629" s="27">
        <v>1.1000000000000001</v>
      </c>
      <c r="D629" s="28" t="s">
        <v>174</v>
      </c>
      <c r="E629" s="27" t="s">
        <v>742</v>
      </c>
      <c r="F629" s="28">
        <v>1.2871E-2</v>
      </c>
      <c r="G629" s="28">
        <v>0.101666667</v>
      </c>
      <c r="H629" s="28"/>
      <c r="I629" s="27" t="s">
        <v>164</v>
      </c>
      <c r="J629" s="19">
        <v>1.19434E-4</v>
      </c>
    </row>
    <row r="630" spans="1:10" x14ac:dyDescent="0.15">
      <c r="A630" s="27" t="s">
        <v>906</v>
      </c>
      <c r="B630" s="27" t="s">
        <v>925</v>
      </c>
      <c r="C630" s="27">
        <v>1.1000000000000001</v>
      </c>
      <c r="D630" s="28" t="s">
        <v>175</v>
      </c>
      <c r="E630" s="27" t="s">
        <v>742</v>
      </c>
      <c r="F630" s="28">
        <v>2.8830000000000001E-3</v>
      </c>
      <c r="G630" s="28">
        <v>7.3499999999999996E-2</v>
      </c>
      <c r="H630" s="28"/>
      <c r="I630" s="27" t="s">
        <v>164</v>
      </c>
      <c r="J630" s="19">
        <v>3.7004200000000001E-5</v>
      </c>
    </row>
    <row r="631" spans="1:10" x14ac:dyDescent="0.15">
      <c r="A631" s="27" t="s">
        <v>906</v>
      </c>
      <c r="B631" s="27" t="s">
        <v>925</v>
      </c>
      <c r="C631" s="27">
        <v>1.1000000000000001</v>
      </c>
      <c r="D631" s="28" t="s">
        <v>176</v>
      </c>
      <c r="E631" s="27" t="s">
        <v>742</v>
      </c>
      <c r="F631" s="28">
        <v>1.0870000000000001E-3</v>
      </c>
      <c r="G631" s="28">
        <v>2.7E-2</v>
      </c>
      <c r="H631" s="28"/>
      <c r="I631" s="27" t="s">
        <v>164</v>
      </c>
      <c r="J631" s="19">
        <v>3.79804E-5</v>
      </c>
    </row>
    <row r="632" spans="1:10" x14ac:dyDescent="0.15">
      <c r="A632" s="27" t="s">
        <v>906</v>
      </c>
      <c r="B632" s="27" t="s">
        <v>925</v>
      </c>
      <c r="C632" s="27">
        <v>1.1000000000000001</v>
      </c>
      <c r="D632" s="28" t="s">
        <v>177</v>
      </c>
      <c r="E632" s="27" t="s">
        <v>742</v>
      </c>
      <c r="F632" s="28">
        <v>1.534E-3</v>
      </c>
      <c r="G632" s="28">
        <v>3.9E-2</v>
      </c>
      <c r="H632" s="28"/>
      <c r="I632" s="27" t="s">
        <v>164</v>
      </c>
      <c r="J632" s="19">
        <v>3.7106900000000002E-5</v>
      </c>
    </row>
    <row r="633" spans="1:10" x14ac:dyDescent="0.15">
      <c r="A633" s="27" t="s">
        <v>906</v>
      </c>
      <c r="B633" s="27" t="s">
        <v>925</v>
      </c>
      <c r="C633" s="27">
        <v>1.1000000000000001</v>
      </c>
      <c r="D633" s="28" t="s">
        <v>178</v>
      </c>
      <c r="E633" s="27" t="s">
        <v>742</v>
      </c>
      <c r="F633" s="28">
        <v>1.134E-3</v>
      </c>
      <c r="G633" s="28">
        <v>3.2000000000000001E-2</v>
      </c>
      <c r="H633" s="28"/>
      <c r="I633" s="27" t="s">
        <v>164</v>
      </c>
      <c r="J633" s="19">
        <v>3.34316E-5</v>
      </c>
    </row>
    <row r="634" spans="1:10" x14ac:dyDescent="0.15">
      <c r="A634" s="27" t="s">
        <v>906</v>
      </c>
      <c r="B634" s="27" t="s">
        <v>925</v>
      </c>
      <c r="C634" s="27">
        <v>1.1000000000000001</v>
      </c>
      <c r="D634" s="28" t="s">
        <v>179</v>
      </c>
      <c r="E634" s="27" t="s">
        <v>742</v>
      </c>
      <c r="F634" s="28">
        <v>2.6020000000000001E-3</v>
      </c>
      <c r="G634" s="28">
        <v>4.4999999999999998E-2</v>
      </c>
      <c r="H634" s="28"/>
      <c r="I634" s="27" t="s">
        <v>164</v>
      </c>
      <c r="J634" s="19">
        <v>5.4549300000000003E-5</v>
      </c>
    </row>
    <row r="635" spans="1:10" x14ac:dyDescent="0.15">
      <c r="A635" s="27" t="s">
        <v>906</v>
      </c>
      <c r="B635" s="27" t="s">
        <v>925</v>
      </c>
      <c r="C635" s="27">
        <v>1.1000000000000001</v>
      </c>
      <c r="D635" s="28" t="s">
        <v>180</v>
      </c>
      <c r="E635" s="27" t="s">
        <v>742</v>
      </c>
      <c r="F635" s="28">
        <v>7.2800000000000002E-4</v>
      </c>
      <c r="G635" s="28">
        <v>0.03</v>
      </c>
      <c r="H635" s="28"/>
      <c r="I635" s="27" t="s">
        <v>164</v>
      </c>
      <c r="J635" s="19">
        <v>2.2893099999999999E-5</v>
      </c>
    </row>
    <row r="636" spans="1:10" x14ac:dyDescent="0.15">
      <c r="A636" s="27" t="s">
        <v>906</v>
      </c>
      <c r="B636" s="27" t="s">
        <v>925</v>
      </c>
      <c r="C636" s="27">
        <v>1.1000000000000001</v>
      </c>
      <c r="D636" s="28" t="s">
        <v>181</v>
      </c>
      <c r="E636" s="27" t="s">
        <v>742</v>
      </c>
      <c r="F636" s="28">
        <v>8.1300000000000003E-4</v>
      </c>
      <c r="G636" s="28">
        <v>2.7E-2</v>
      </c>
      <c r="H636" s="28"/>
      <c r="I636" s="27" t="s">
        <v>164</v>
      </c>
      <c r="J636" s="19">
        <v>2.84067E-5</v>
      </c>
    </row>
    <row r="637" spans="1:10" x14ac:dyDescent="0.15">
      <c r="A637" s="27" t="s">
        <v>906</v>
      </c>
      <c r="B637" s="27" t="s">
        <v>925</v>
      </c>
      <c r="C637" s="27">
        <v>1.1000000000000001</v>
      </c>
      <c r="D637" s="28" t="s">
        <v>182</v>
      </c>
      <c r="E637" s="27" t="s">
        <v>742</v>
      </c>
      <c r="F637" s="28">
        <v>3.8499999999999998E-4</v>
      </c>
      <c r="G637" s="28">
        <v>1.9E-2</v>
      </c>
      <c r="H637" s="28"/>
      <c r="I637" s="27" t="s">
        <v>164</v>
      </c>
      <c r="J637" s="19">
        <v>1.9116199999999998E-5</v>
      </c>
    </row>
    <row r="638" spans="1:10" x14ac:dyDescent="0.15">
      <c r="A638" s="27" t="s">
        <v>906</v>
      </c>
      <c r="B638" s="27" t="s">
        <v>925</v>
      </c>
      <c r="C638" s="27">
        <v>1.1000000000000001</v>
      </c>
      <c r="D638" s="28" t="s">
        <v>183</v>
      </c>
      <c r="E638" s="27" t="s">
        <v>742</v>
      </c>
      <c r="F638" s="28">
        <v>4.8000000000000001E-4</v>
      </c>
      <c r="G638" s="28">
        <v>2.5999999999999999E-2</v>
      </c>
      <c r="H638" s="28"/>
      <c r="I638" s="27" t="s">
        <v>164</v>
      </c>
      <c r="J638" s="19">
        <v>1.7416499999999998E-5</v>
      </c>
    </row>
    <row r="639" spans="1:10" x14ac:dyDescent="0.15">
      <c r="A639" s="27" t="s">
        <v>906</v>
      </c>
      <c r="B639" s="27" t="s">
        <v>925</v>
      </c>
      <c r="C639" s="27">
        <v>1.1000000000000001</v>
      </c>
      <c r="D639" s="28" t="s">
        <v>184</v>
      </c>
      <c r="E639" s="27" t="s">
        <v>742</v>
      </c>
      <c r="F639" s="28">
        <v>5.1599999999999997E-4</v>
      </c>
      <c r="G639" s="28">
        <v>1.9E-2</v>
      </c>
      <c r="H639" s="28"/>
      <c r="I639" s="27" t="s">
        <v>164</v>
      </c>
      <c r="J639" s="19">
        <v>2.56207E-5</v>
      </c>
    </row>
    <row r="640" spans="1:10" x14ac:dyDescent="0.15">
      <c r="A640" s="27" t="s">
        <v>906</v>
      </c>
      <c r="B640" s="27" t="s">
        <v>925</v>
      </c>
      <c r="C640" s="27">
        <v>1.1000000000000001</v>
      </c>
      <c r="D640" s="28" t="s">
        <v>185</v>
      </c>
      <c r="E640" s="27" t="s">
        <v>742</v>
      </c>
      <c r="F640" s="28">
        <v>8.3499999999999998E-3</v>
      </c>
      <c r="G640" s="28">
        <v>8.7999999999999995E-2</v>
      </c>
      <c r="H640" s="28"/>
      <c r="I640" s="27" t="s">
        <v>164</v>
      </c>
      <c r="J640" s="19">
        <v>8.95154E-5</v>
      </c>
    </row>
    <row r="641" spans="1:10" x14ac:dyDescent="0.15">
      <c r="A641" s="27" t="s">
        <v>906</v>
      </c>
      <c r="B641" s="27" t="s">
        <v>925</v>
      </c>
      <c r="C641" s="27">
        <v>1.1000000000000001</v>
      </c>
      <c r="D641" s="28" t="s">
        <v>186</v>
      </c>
      <c r="E641" s="27" t="s">
        <v>742</v>
      </c>
      <c r="F641" s="28">
        <v>2.7550000000000001E-3</v>
      </c>
      <c r="G641" s="28">
        <v>0.04</v>
      </c>
      <c r="H641" s="28"/>
      <c r="I641" s="27" t="s">
        <v>164</v>
      </c>
      <c r="J641" s="19">
        <v>6.4976399999999997E-5</v>
      </c>
    </row>
    <row r="642" spans="1:10" x14ac:dyDescent="0.15">
      <c r="A642" s="27" t="s">
        <v>906</v>
      </c>
      <c r="B642" s="27" t="s">
        <v>925</v>
      </c>
      <c r="C642" s="27">
        <v>1.1000000000000001</v>
      </c>
      <c r="D642" s="28" t="s">
        <v>187</v>
      </c>
      <c r="E642" s="27" t="s">
        <v>742</v>
      </c>
      <c r="F642" s="28">
        <v>2.454E-3</v>
      </c>
      <c r="G642" s="28">
        <v>3.6666670000000002E-3</v>
      </c>
      <c r="H642" s="28"/>
      <c r="I642" s="27" t="s">
        <v>164</v>
      </c>
      <c r="J642" s="19">
        <v>5.7223300000000001E-4</v>
      </c>
    </row>
    <row r="643" spans="1:10" x14ac:dyDescent="0.15">
      <c r="A643" s="27" t="s">
        <v>906</v>
      </c>
      <c r="B643" s="27" t="s">
        <v>925</v>
      </c>
      <c r="C643" s="27">
        <v>1.1000000000000001</v>
      </c>
      <c r="D643" s="28" t="s">
        <v>188</v>
      </c>
      <c r="E643" s="27" t="s">
        <v>742</v>
      </c>
      <c r="F643" s="28">
        <v>1.3940000000000001E-3</v>
      </c>
      <c r="G643" s="28">
        <v>1.575E-2</v>
      </c>
      <c r="H643" s="28"/>
      <c r="I643" s="27" t="s">
        <v>164</v>
      </c>
      <c r="J643" s="19">
        <v>8.0652899999999995E-5</v>
      </c>
    </row>
    <row r="644" spans="1:10" x14ac:dyDescent="0.15">
      <c r="A644" s="27" t="s">
        <v>906</v>
      </c>
      <c r="B644" s="27" t="s">
        <v>925</v>
      </c>
      <c r="C644" s="27">
        <v>1.1000000000000001</v>
      </c>
      <c r="D644" s="28" t="s">
        <v>189</v>
      </c>
      <c r="E644" s="27" t="s">
        <v>743</v>
      </c>
      <c r="F644" s="28">
        <v>4.5919999999999997E-3</v>
      </c>
      <c r="G644" s="28">
        <v>1.3333332999999999E-2</v>
      </c>
      <c r="H644" s="28"/>
      <c r="I644" s="27" t="s">
        <v>164</v>
      </c>
      <c r="J644" s="19">
        <v>2.1599600000000001E-4</v>
      </c>
    </row>
    <row r="645" spans="1:10" x14ac:dyDescent="0.15">
      <c r="A645" s="27" t="s">
        <v>906</v>
      </c>
      <c r="B645" s="27" t="s">
        <v>925</v>
      </c>
      <c r="C645" s="27">
        <v>1.1000000000000001</v>
      </c>
      <c r="D645" s="28" t="s">
        <v>190</v>
      </c>
      <c r="E645" s="27" t="s">
        <v>743</v>
      </c>
      <c r="F645" s="28">
        <v>4.9240000000000004E-3</v>
      </c>
      <c r="G645" s="28">
        <v>3.3500000000000002E-2</v>
      </c>
      <c r="H645" s="28"/>
      <c r="I645" s="27" t="s">
        <v>164</v>
      </c>
      <c r="J645" s="19">
        <v>9.8051099999999994E-5</v>
      </c>
    </row>
    <row r="646" spans="1:10" x14ac:dyDescent="0.15">
      <c r="A646" s="27" t="s">
        <v>906</v>
      </c>
      <c r="B646" s="27" t="s">
        <v>925</v>
      </c>
      <c r="C646" s="27">
        <v>1.1000000000000001</v>
      </c>
      <c r="D646" s="28" t="s">
        <v>191</v>
      </c>
      <c r="E646" s="27" t="s">
        <v>743</v>
      </c>
      <c r="F646" s="28">
        <v>1.24E-3</v>
      </c>
      <c r="G646" s="28">
        <v>0.06</v>
      </c>
      <c r="H646" s="28"/>
      <c r="I646" s="27" t="s">
        <v>164</v>
      </c>
      <c r="J646" s="19">
        <v>1.94969E-5</v>
      </c>
    </row>
    <row r="647" spans="1:10" x14ac:dyDescent="0.15">
      <c r="A647" s="27" t="s">
        <v>906</v>
      </c>
      <c r="B647" s="27" t="s">
        <v>925</v>
      </c>
      <c r="C647" s="27">
        <v>1.1000000000000001</v>
      </c>
      <c r="D647" s="28" t="s">
        <v>192</v>
      </c>
      <c r="E647" s="27" t="s">
        <v>743</v>
      </c>
      <c r="F647" s="28">
        <v>1.719E-3</v>
      </c>
      <c r="G647" s="28">
        <v>5.0000000000000001E-3</v>
      </c>
      <c r="H647" s="28"/>
      <c r="I647" s="27" t="s">
        <v>164</v>
      </c>
      <c r="J647" s="19">
        <v>2.6568300000000001E-4</v>
      </c>
    </row>
    <row r="648" spans="1:10" x14ac:dyDescent="0.15">
      <c r="A648" s="27" t="s">
        <v>906</v>
      </c>
      <c r="B648" s="27" t="s">
        <v>925</v>
      </c>
      <c r="C648" s="27">
        <v>1.1000000000000001</v>
      </c>
      <c r="D648" s="28" t="s">
        <v>193</v>
      </c>
      <c r="E648" s="27" t="s">
        <v>743</v>
      </c>
      <c r="F648" s="28">
        <v>1.748E-3</v>
      </c>
      <c r="G648" s="28">
        <v>6.9750000000000006E-2</v>
      </c>
      <c r="H648" s="28"/>
      <c r="I648" s="27" t="s">
        <v>164</v>
      </c>
      <c r="J648" s="19">
        <v>2.3642399999999999E-5</v>
      </c>
    </row>
    <row r="649" spans="1:10" x14ac:dyDescent="0.15">
      <c r="A649" s="27" t="s">
        <v>906</v>
      </c>
      <c r="B649" s="27" t="s">
        <v>925</v>
      </c>
      <c r="C649" s="27">
        <v>1.1000000000000001</v>
      </c>
      <c r="D649" s="28" t="s">
        <v>194</v>
      </c>
      <c r="E649" s="27" t="s">
        <v>743</v>
      </c>
      <c r="F649" s="28">
        <v>9.8400000000000007E-4</v>
      </c>
      <c r="G649" s="28">
        <v>6.3E-2</v>
      </c>
      <c r="H649" s="28"/>
      <c r="I649" s="27" t="s">
        <v>164</v>
      </c>
      <c r="J649" s="19">
        <v>1.4735E-5</v>
      </c>
    </row>
    <row r="650" spans="1:10" x14ac:dyDescent="0.15">
      <c r="A650" s="27" t="s">
        <v>906</v>
      </c>
      <c r="B650" s="27" t="s">
        <v>925</v>
      </c>
      <c r="C650" s="27">
        <v>1.1000000000000001</v>
      </c>
      <c r="D650" s="28" t="s">
        <v>195</v>
      </c>
      <c r="E650" s="27" t="s">
        <v>743</v>
      </c>
      <c r="F650" s="28">
        <v>6.6E-4</v>
      </c>
      <c r="G650" s="28">
        <v>1.4500000000000001E-2</v>
      </c>
      <c r="H650" s="28"/>
      <c r="I650" s="27" t="s">
        <v>164</v>
      </c>
      <c r="J650" s="19">
        <v>4.2940800000000001E-5</v>
      </c>
    </row>
    <row r="651" spans="1:10" x14ac:dyDescent="0.15">
      <c r="A651" s="27" t="s">
        <v>906</v>
      </c>
      <c r="B651" s="27" t="s">
        <v>925</v>
      </c>
      <c r="C651" s="27">
        <v>1.1000000000000001</v>
      </c>
      <c r="D651" s="28" t="s">
        <v>196</v>
      </c>
      <c r="E651" s="27" t="s">
        <v>743</v>
      </c>
      <c r="F651" s="28">
        <v>7.5799999999999999E-4</v>
      </c>
      <c r="G651" s="28">
        <v>4.5999999999999999E-2</v>
      </c>
      <c r="H651" s="28"/>
      <c r="I651" s="27" t="s">
        <v>164</v>
      </c>
      <c r="J651" s="19">
        <v>1.5545499999999999E-5</v>
      </c>
    </row>
    <row r="652" spans="1:10" x14ac:dyDescent="0.15">
      <c r="A652" s="27" t="s">
        <v>906</v>
      </c>
      <c r="B652" s="27" t="s">
        <v>925</v>
      </c>
      <c r="C652" s="27">
        <v>1.1000000000000001</v>
      </c>
      <c r="D652" s="28" t="s">
        <v>197</v>
      </c>
      <c r="E652" s="27" t="s">
        <v>743</v>
      </c>
      <c r="F652" s="28">
        <v>2.2880000000000001E-3</v>
      </c>
      <c r="G652" s="28">
        <v>6.5000000000000002E-2</v>
      </c>
      <c r="H652" s="28"/>
      <c r="I652" s="27" t="s">
        <v>164</v>
      </c>
      <c r="J652" s="19">
        <v>3.3207499999999997E-5</v>
      </c>
    </row>
    <row r="653" spans="1:10" x14ac:dyDescent="0.15">
      <c r="A653" s="27" t="s">
        <v>906</v>
      </c>
      <c r="B653" s="27" t="s">
        <v>925</v>
      </c>
      <c r="C653" s="27">
        <v>1.1000000000000001</v>
      </c>
      <c r="D653" s="28" t="s">
        <v>198</v>
      </c>
      <c r="E653" s="27" t="s">
        <v>743</v>
      </c>
      <c r="F653" s="28">
        <v>5.9299999999999999E-4</v>
      </c>
      <c r="G653" s="28">
        <v>6.0000000000000001E-3</v>
      </c>
      <c r="H653" s="28"/>
      <c r="I653" s="27" t="s">
        <v>164</v>
      </c>
      <c r="J653" s="19">
        <v>6.3984499999999997E-5</v>
      </c>
    </row>
    <row r="654" spans="1:10" x14ac:dyDescent="0.15">
      <c r="A654" s="27" t="s">
        <v>906</v>
      </c>
      <c r="B654" s="27" t="s">
        <v>925</v>
      </c>
      <c r="C654" s="27">
        <v>1.1000000000000001</v>
      </c>
      <c r="D654" s="28" t="s">
        <v>199</v>
      </c>
      <c r="E654" s="27" t="s">
        <v>743</v>
      </c>
      <c r="F654" s="28">
        <v>9.6900000000000003E-4</v>
      </c>
      <c r="G654" s="28">
        <v>1.15E-2</v>
      </c>
      <c r="H654" s="28"/>
      <c r="I654" s="27" t="s">
        <v>164</v>
      </c>
      <c r="J654" s="19">
        <v>5.4550299999999998E-5</v>
      </c>
    </row>
    <row r="655" spans="1:10" x14ac:dyDescent="0.15">
      <c r="A655" s="27" t="s">
        <v>906</v>
      </c>
      <c r="B655" s="27" t="s">
        <v>925</v>
      </c>
      <c r="C655" s="27">
        <v>1.1000000000000001</v>
      </c>
      <c r="D655" s="28" t="s">
        <v>200</v>
      </c>
      <c r="E655" s="27" t="s">
        <v>743</v>
      </c>
      <c r="F655" s="28">
        <v>2.1770000000000001E-3</v>
      </c>
      <c r="G655" s="28">
        <v>1.7666667E-2</v>
      </c>
      <c r="H655" s="28"/>
      <c r="I655" s="27" t="s">
        <v>164</v>
      </c>
      <c r="J655" s="19">
        <v>9.7496600000000004E-5</v>
      </c>
    </row>
    <row r="656" spans="1:10" x14ac:dyDescent="0.15">
      <c r="A656" s="27" t="s">
        <v>906</v>
      </c>
      <c r="B656" s="27" t="s">
        <v>925</v>
      </c>
      <c r="C656" s="27">
        <v>1.1000000000000001</v>
      </c>
      <c r="D656" s="28" t="s">
        <v>201</v>
      </c>
      <c r="E656" s="27" t="s">
        <v>743</v>
      </c>
      <c r="F656" s="28">
        <v>3.8400000000000001E-4</v>
      </c>
      <c r="G656" s="28">
        <v>4.1250000000000002E-2</v>
      </c>
      <c r="H656" s="28"/>
      <c r="I656" s="27" t="s">
        <v>164</v>
      </c>
      <c r="J656" s="19">
        <v>8.7821599999999993E-6</v>
      </c>
    </row>
    <row r="657" spans="1:10" x14ac:dyDescent="0.15">
      <c r="A657" s="32" t="s">
        <v>202</v>
      </c>
      <c r="B657" s="32" t="s">
        <v>925</v>
      </c>
      <c r="C657" s="32">
        <v>2.66</v>
      </c>
      <c r="D657" s="44" t="s">
        <v>165</v>
      </c>
      <c r="E657" s="32" t="s">
        <v>742</v>
      </c>
      <c r="F657" s="44">
        <v>1.26E-2</v>
      </c>
      <c r="G657" s="44">
        <v>0.112</v>
      </c>
      <c r="H657" s="44"/>
      <c r="I657" s="32" t="s">
        <v>164</v>
      </c>
      <c r="J657" s="19">
        <v>1.0613200000000001E-4</v>
      </c>
    </row>
    <row r="658" spans="1:10" x14ac:dyDescent="0.15">
      <c r="A658" s="32" t="s">
        <v>202</v>
      </c>
      <c r="B658" s="32" t="s">
        <v>925</v>
      </c>
      <c r="C658" s="32">
        <v>2.66</v>
      </c>
      <c r="D658" s="44" t="s">
        <v>166</v>
      </c>
      <c r="E658" s="32" t="s">
        <v>742</v>
      </c>
      <c r="F658" s="44">
        <v>3.8000000000000002E-4</v>
      </c>
      <c r="G658" s="44">
        <v>7.0000000000000007E-2</v>
      </c>
      <c r="H658" s="44"/>
      <c r="I658" s="32" t="s">
        <v>164</v>
      </c>
      <c r="J658" s="35">
        <v>5.1212899999999997E-6</v>
      </c>
    </row>
    <row r="659" spans="1:10" x14ac:dyDescent="0.15">
      <c r="A659" s="32" t="s">
        <v>202</v>
      </c>
      <c r="B659" s="32" t="s">
        <v>925</v>
      </c>
      <c r="C659" s="32">
        <v>2.66</v>
      </c>
      <c r="D659" s="44" t="s">
        <v>167</v>
      </c>
      <c r="E659" s="32" t="s">
        <v>742</v>
      </c>
      <c r="F659" s="44">
        <v>4.1000000000000003E-3</v>
      </c>
      <c r="G659" s="44">
        <v>0.16450000000000001</v>
      </c>
      <c r="H659" s="44"/>
      <c r="I659" s="32" t="s">
        <v>164</v>
      </c>
      <c r="J659" s="35">
        <v>2.35132E-5</v>
      </c>
    </row>
    <row r="660" spans="1:10" x14ac:dyDescent="0.15">
      <c r="A660" s="32" t="s">
        <v>202</v>
      </c>
      <c r="B660" s="32" t="s">
        <v>925</v>
      </c>
      <c r="C660" s="32">
        <v>2.66</v>
      </c>
      <c r="D660" s="44" t="s">
        <v>168</v>
      </c>
      <c r="E660" s="32" t="s">
        <v>742</v>
      </c>
      <c r="F660" s="44">
        <v>1.7420000000000001E-3</v>
      </c>
      <c r="G660" s="44">
        <v>4.9333333E-2</v>
      </c>
      <c r="H660" s="44"/>
      <c r="I660" s="32" t="s">
        <v>164</v>
      </c>
      <c r="J660" s="35">
        <v>3.3312100000000002E-5</v>
      </c>
    </row>
    <row r="661" spans="1:10" x14ac:dyDescent="0.15">
      <c r="A661" s="32" t="s">
        <v>202</v>
      </c>
      <c r="B661" s="32" t="s">
        <v>925</v>
      </c>
      <c r="C661" s="32">
        <v>2.66</v>
      </c>
      <c r="D661" s="44" t="s">
        <v>169</v>
      </c>
      <c r="E661" s="32" t="s">
        <v>742</v>
      </c>
      <c r="F661" s="44">
        <v>1.0200000000000001E-2</v>
      </c>
      <c r="G661" s="44">
        <v>3.1666667000000003E-2</v>
      </c>
      <c r="H661" s="44"/>
      <c r="I661" s="32" t="s">
        <v>164</v>
      </c>
      <c r="J661" s="19">
        <v>2.7902100000000001E-4</v>
      </c>
    </row>
    <row r="662" spans="1:10" x14ac:dyDescent="0.15">
      <c r="A662" s="32" t="s">
        <v>202</v>
      </c>
      <c r="B662" s="32" t="s">
        <v>925</v>
      </c>
      <c r="C662" s="32">
        <v>2.66</v>
      </c>
      <c r="D662" s="44" t="s">
        <v>170</v>
      </c>
      <c r="E662" s="32" t="s">
        <v>742</v>
      </c>
      <c r="F662" s="44">
        <v>7.1399999999999996E-3</v>
      </c>
      <c r="G662" s="44">
        <v>0.02</v>
      </c>
      <c r="H662" s="44"/>
      <c r="I662" s="32" t="s">
        <v>164</v>
      </c>
      <c r="J662" s="19">
        <v>3.1648100000000002E-4</v>
      </c>
    </row>
    <row r="663" spans="1:10" x14ac:dyDescent="0.15">
      <c r="A663" s="32" t="s">
        <v>202</v>
      </c>
      <c r="B663" s="32" t="s">
        <v>925</v>
      </c>
      <c r="C663" s="32">
        <v>2.66</v>
      </c>
      <c r="D663" s="44" t="s">
        <v>171</v>
      </c>
      <c r="E663" s="32" t="s">
        <v>742</v>
      </c>
      <c r="F663" s="44">
        <v>6.94E-3</v>
      </c>
      <c r="G663" s="44">
        <v>2.3333333000000001E-2</v>
      </c>
      <c r="H663" s="44"/>
      <c r="I663" s="32" t="s">
        <v>164</v>
      </c>
      <c r="J663" s="19">
        <v>2.7225799999999999E-4</v>
      </c>
    </row>
    <row r="664" spans="1:10" x14ac:dyDescent="0.15">
      <c r="A664" s="32" t="s">
        <v>202</v>
      </c>
      <c r="B664" s="32" t="s">
        <v>925</v>
      </c>
      <c r="C664" s="32">
        <v>2.66</v>
      </c>
      <c r="D664" s="44" t="s">
        <v>172</v>
      </c>
      <c r="E664" s="32" t="s">
        <v>742</v>
      </c>
      <c r="F664" s="44">
        <v>6.9100000000000003E-3</v>
      </c>
      <c r="G664" s="44">
        <v>2.7333333000000001E-2</v>
      </c>
      <c r="H664" s="44"/>
      <c r="I664" s="32" t="s">
        <v>164</v>
      </c>
      <c r="J664" s="19">
        <v>1.7908099999999999E-4</v>
      </c>
    </row>
    <row r="665" spans="1:10" x14ac:dyDescent="0.15">
      <c r="A665" s="32" t="s">
        <v>202</v>
      </c>
      <c r="B665" s="32" t="s">
        <v>925</v>
      </c>
      <c r="C665" s="32">
        <v>2.66</v>
      </c>
      <c r="D665" s="44" t="s">
        <v>173</v>
      </c>
      <c r="E665" s="32" t="s">
        <v>742</v>
      </c>
      <c r="F665" s="44">
        <v>3.64E-3</v>
      </c>
      <c r="G665" s="44">
        <v>0.12166666700000001</v>
      </c>
      <c r="H665" s="44"/>
      <c r="I665" s="32" t="s">
        <v>164</v>
      </c>
      <c r="J665" s="35">
        <v>2.82243E-5</v>
      </c>
    </row>
    <row r="666" spans="1:10" x14ac:dyDescent="0.15">
      <c r="A666" s="32" t="s">
        <v>202</v>
      </c>
      <c r="B666" s="32" t="s">
        <v>925</v>
      </c>
      <c r="C666" s="32">
        <v>2.66</v>
      </c>
      <c r="D666" s="44" t="s">
        <v>174</v>
      </c>
      <c r="E666" s="32" t="s">
        <v>742</v>
      </c>
      <c r="F666" s="44">
        <v>7.7999999999999996E-3</v>
      </c>
      <c r="G666" s="44">
        <v>0.14599999999999999</v>
      </c>
      <c r="H666" s="44"/>
      <c r="I666" s="32" t="s">
        <v>164</v>
      </c>
      <c r="J666" s="35">
        <v>5.04006E-5</v>
      </c>
    </row>
    <row r="667" spans="1:10" x14ac:dyDescent="0.15">
      <c r="A667" s="32" t="s">
        <v>202</v>
      </c>
      <c r="B667" s="32" t="s">
        <v>925</v>
      </c>
      <c r="C667" s="32">
        <v>2.66</v>
      </c>
      <c r="D667" s="44" t="s">
        <v>175</v>
      </c>
      <c r="E667" s="32" t="s">
        <v>742</v>
      </c>
      <c r="F667" s="44">
        <v>1.6280000000000001E-3</v>
      </c>
      <c r="G667" s="44">
        <v>5.7500000000000002E-2</v>
      </c>
      <c r="H667" s="44"/>
      <c r="I667" s="32" t="s">
        <v>164</v>
      </c>
      <c r="J667" s="35">
        <v>2.6710400000000001E-5</v>
      </c>
    </row>
    <row r="668" spans="1:10" x14ac:dyDescent="0.15">
      <c r="A668" s="32" t="s">
        <v>202</v>
      </c>
      <c r="B668" s="32" t="s">
        <v>925</v>
      </c>
      <c r="C668" s="32">
        <v>2.66</v>
      </c>
      <c r="D668" s="44" t="s">
        <v>176</v>
      </c>
      <c r="E668" s="32" t="s">
        <v>742</v>
      </c>
      <c r="F668" s="44">
        <v>8.8000000000000003E-4</v>
      </c>
      <c r="G668" s="44">
        <v>4.9666666999999998E-2</v>
      </c>
      <c r="H668" s="44"/>
      <c r="I668" s="32" t="s">
        <v>164</v>
      </c>
      <c r="J668" s="35">
        <v>1.6715199999999999E-5</v>
      </c>
    </row>
    <row r="669" spans="1:10" x14ac:dyDescent="0.15">
      <c r="A669" s="32" t="s">
        <v>202</v>
      </c>
      <c r="B669" s="32" t="s">
        <v>925</v>
      </c>
      <c r="C669" s="32">
        <v>2.66</v>
      </c>
      <c r="D669" s="44" t="s">
        <v>177</v>
      </c>
      <c r="E669" s="32" t="s">
        <v>742</v>
      </c>
      <c r="F669" s="44">
        <v>5.0499999999999998E-3</v>
      </c>
      <c r="G669" s="44">
        <v>4.7666667000000003E-2</v>
      </c>
      <c r="H669" s="44"/>
      <c r="I669" s="32" t="s">
        <v>164</v>
      </c>
      <c r="J669" s="35">
        <v>9.9947199999999997E-5</v>
      </c>
    </row>
    <row r="670" spans="1:10" x14ac:dyDescent="0.15">
      <c r="A670" s="32" t="s">
        <v>202</v>
      </c>
      <c r="B670" s="32" t="s">
        <v>925</v>
      </c>
      <c r="C670" s="32">
        <v>2.66</v>
      </c>
      <c r="D670" s="44" t="s">
        <v>178</v>
      </c>
      <c r="E670" s="32" t="s">
        <v>742</v>
      </c>
      <c r="F670" s="44">
        <v>1.16E-3</v>
      </c>
      <c r="G670" s="44">
        <v>3.7666667000000001E-2</v>
      </c>
      <c r="H670" s="44"/>
      <c r="I670" s="32" t="s">
        <v>164</v>
      </c>
      <c r="J670" s="35">
        <v>2.9053299999999998E-5</v>
      </c>
    </row>
    <row r="671" spans="1:10" x14ac:dyDescent="0.15">
      <c r="A671" s="32" t="s">
        <v>202</v>
      </c>
      <c r="B671" s="32" t="s">
        <v>925</v>
      </c>
      <c r="C671" s="32">
        <v>2.66</v>
      </c>
      <c r="D671" s="44" t="s">
        <v>179</v>
      </c>
      <c r="E671" s="32" t="s">
        <v>742</v>
      </c>
      <c r="F671" s="44">
        <v>1.3799999999999999E-3</v>
      </c>
      <c r="G671" s="44">
        <v>2.1333332999999999E-2</v>
      </c>
      <c r="H671" s="44"/>
      <c r="I671" s="32" t="s">
        <v>164</v>
      </c>
      <c r="J671" s="35">
        <v>6.1025900000000001E-5</v>
      </c>
    </row>
    <row r="672" spans="1:10" x14ac:dyDescent="0.15">
      <c r="A672" s="32" t="s">
        <v>202</v>
      </c>
      <c r="B672" s="32" t="s">
        <v>925</v>
      </c>
      <c r="C672" s="32">
        <v>2.66</v>
      </c>
      <c r="D672" s="44" t="s">
        <v>180</v>
      </c>
      <c r="E672" s="32" t="s">
        <v>742</v>
      </c>
      <c r="F672" s="44">
        <v>3.8999999999999999E-4</v>
      </c>
      <c r="G672" s="44">
        <v>2.3E-2</v>
      </c>
      <c r="H672" s="44"/>
      <c r="I672" s="32" t="s">
        <v>164</v>
      </c>
      <c r="J672" s="35">
        <v>1.5996699999999999E-5</v>
      </c>
    </row>
    <row r="673" spans="1:10" x14ac:dyDescent="0.15">
      <c r="A673" s="32" t="s">
        <v>202</v>
      </c>
      <c r="B673" s="32" t="s">
        <v>925</v>
      </c>
      <c r="C673" s="32">
        <v>2.66</v>
      </c>
      <c r="D673" s="44" t="s">
        <v>181</v>
      </c>
      <c r="E673" s="32" t="s">
        <v>742</v>
      </c>
      <c r="F673" s="44">
        <v>1.39E-3</v>
      </c>
      <c r="G673" s="44">
        <v>2.3E-2</v>
      </c>
      <c r="H673" s="44"/>
      <c r="I673" s="32" t="s">
        <v>164</v>
      </c>
      <c r="J673" s="35">
        <v>5.70139E-5</v>
      </c>
    </row>
    <row r="674" spans="1:10" x14ac:dyDescent="0.15">
      <c r="A674" s="32" t="s">
        <v>202</v>
      </c>
      <c r="B674" s="32" t="s">
        <v>925</v>
      </c>
      <c r="C674" s="32">
        <v>2.66</v>
      </c>
      <c r="D674" s="44" t="s">
        <v>182</v>
      </c>
      <c r="E674" s="32" t="s">
        <v>742</v>
      </c>
      <c r="F674" s="44">
        <v>1.4E-3</v>
      </c>
      <c r="G674" s="44">
        <v>2.2666667000000001E-2</v>
      </c>
      <c r="H674" s="44"/>
      <c r="I674" s="32" t="s">
        <v>164</v>
      </c>
      <c r="J674" s="35">
        <v>5.82686E-5</v>
      </c>
    </row>
    <row r="675" spans="1:10" x14ac:dyDescent="0.15">
      <c r="A675" s="32" t="s">
        <v>202</v>
      </c>
      <c r="B675" s="32" t="s">
        <v>925</v>
      </c>
      <c r="C675" s="32">
        <v>2.66</v>
      </c>
      <c r="D675" s="44" t="s">
        <v>183</v>
      </c>
      <c r="E675" s="32" t="s">
        <v>742</v>
      </c>
      <c r="F675" s="44">
        <v>1.92E-3</v>
      </c>
      <c r="G675" s="44">
        <v>3.9333332999999998E-2</v>
      </c>
      <c r="H675" s="44"/>
      <c r="I675" s="32" t="s">
        <v>164</v>
      </c>
      <c r="J675" s="35">
        <v>4.6050500000000002E-5</v>
      </c>
    </row>
    <row r="676" spans="1:10" x14ac:dyDescent="0.15">
      <c r="A676" s="32" t="s">
        <v>202</v>
      </c>
      <c r="B676" s="32" t="s">
        <v>925</v>
      </c>
      <c r="C676" s="32">
        <v>2.66</v>
      </c>
      <c r="D676" s="44" t="s">
        <v>184</v>
      </c>
      <c r="E676" s="32" t="s">
        <v>742</v>
      </c>
      <c r="F676" s="44">
        <v>4.1939999999999998E-3</v>
      </c>
      <c r="G676" s="44">
        <v>0.122333333</v>
      </c>
      <c r="H676" s="44"/>
      <c r="I676" s="32" t="s">
        <v>164</v>
      </c>
      <c r="J676" s="35">
        <v>3.2342799999999998E-5</v>
      </c>
    </row>
    <row r="677" spans="1:10" x14ac:dyDescent="0.15">
      <c r="A677" s="32" t="s">
        <v>202</v>
      </c>
      <c r="B677" s="32" t="s">
        <v>925</v>
      </c>
      <c r="C677" s="32">
        <v>2.66</v>
      </c>
      <c r="D677" s="44" t="s">
        <v>185</v>
      </c>
      <c r="E677" s="32" t="s">
        <v>742</v>
      </c>
      <c r="F677" s="44">
        <v>1.089E-2</v>
      </c>
      <c r="G677" s="44">
        <v>9.8000000000000004E-2</v>
      </c>
      <c r="H677" s="44"/>
      <c r="I677" s="32" t="s">
        <v>164</v>
      </c>
      <c r="J677" s="19">
        <v>1.04832E-4</v>
      </c>
    </row>
    <row r="678" spans="1:10" x14ac:dyDescent="0.15">
      <c r="A678" s="32" t="s">
        <v>202</v>
      </c>
      <c r="B678" s="32" t="s">
        <v>925</v>
      </c>
      <c r="C678" s="32">
        <v>2.66</v>
      </c>
      <c r="D678" s="44" t="s">
        <v>187</v>
      </c>
      <c r="E678" s="32" t="s">
        <v>742</v>
      </c>
      <c r="F678" s="44">
        <v>3.4499999999999999E-3</v>
      </c>
      <c r="G678" s="44">
        <v>0.11</v>
      </c>
      <c r="H678" s="44"/>
      <c r="I678" s="32" t="s">
        <v>164</v>
      </c>
      <c r="J678" s="35">
        <v>2.9588299999999999E-5</v>
      </c>
    </row>
    <row r="679" spans="1:10" x14ac:dyDescent="0.15">
      <c r="A679" s="32" t="s">
        <v>202</v>
      </c>
      <c r="B679" s="32" t="s">
        <v>925</v>
      </c>
      <c r="C679" s="32">
        <v>2.66</v>
      </c>
      <c r="D679" s="44" t="s">
        <v>188</v>
      </c>
      <c r="E679" s="32" t="s">
        <v>742</v>
      </c>
      <c r="F679" s="44">
        <v>1.15E-3</v>
      </c>
      <c r="G679" s="44">
        <v>2.2666667000000001E-2</v>
      </c>
      <c r="H679" s="44"/>
      <c r="I679" s="32" t="s">
        <v>164</v>
      </c>
      <c r="J679" s="35">
        <v>3.92075E-5</v>
      </c>
    </row>
    <row r="680" spans="1:10" x14ac:dyDescent="0.15">
      <c r="A680" s="32" t="s">
        <v>202</v>
      </c>
      <c r="B680" s="32" t="s">
        <v>925</v>
      </c>
      <c r="C680" s="32">
        <v>2.66</v>
      </c>
      <c r="D680" s="44" t="s">
        <v>189</v>
      </c>
      <c r="E680" s="32" t="s">
        <v>743</v>
      </c>
      <c r="F680" s="44">
        <v>4.1900000000000001E-3</v>
      </c>
      <c r="G680" s="44">
        <v>1.9333333000000001E-2</v>
      </c>
      <c r="H680" s="44"/>
      <c r="I680" s="32" t="s">
        <v>164</v>
      </c>
      <c r="J680" s="19">
        <v>1.9331799999999999E-4</v>
      </c>
    </row>
    <row r="681" spans="1:10" x14ac:dyDescent="0.15">
      <c r="A681" s="32" t="s">
        <v>202</v>
      </c>
      <c r="B681" s="32" t="s">
        <v>925</v>
      </c>
      <c r="C681" s="32">
        <v>2.66</v>
      </c>
      <c r="D681" s="44" t="s">
        <v>190</v>
      </c>
      <c r="E681" s="32" t="s">
        <v>743</v>
      </c>
      <c r="F681" s="44">
        <v>4.4000000000000003E-3</v>
      </c>
      <c r="G681" s="44">
        <v>2.3666666999999999E-2</v>
      </c>
      <c r="H681" s="44"/>
      <c r="I681" s="32" t="s">
        <v>164</v>
      </c>
      <c r="J681" s="19">
        <v>1.4007399999999999E-4</v>
      </c>
    </row>
    <row r="682" spans="1:10" x14ac:dyDescent="0.15">
      <c r="A682" s="32" t="s">
        <v>202</v>
      </c>
      <c r="B682" s="32" t="s">
        <v>925</v>
      </c>
      <c r="C682" s="32">
        <v>2.66</v>
      </c>
      <c r="D682" s="44" t="s">
        <v>191</v>
      </c>
      <c r="E682" s="32" t="s">
        <v>743</v>
      </c>
      <c r="F682" s="44">
        <v>2.82E-3</v>
      </c>
      <c r="G682" s="44">
        <v>1.9333333000000001E-2</v>
      </c>
      <c r="H682" s="44"/>
      <c r="I682" s="32" t="s">
        <v>164</v>
      </c>
      <c r="J682" s="19">
        <v>1.0279499999999999E-4</v>
      </c>
    </row>
    <row r="683" spans="1:10" x14ac:dyDescent="0.15">
      <c r="A683" s="32" t="s">
        <v>202</v>
      </c>
      <c r="B683" s="32" t="s">
        <v>925</v>
      </c>
      <c r="C683" s="32">
        <v>2.66</v>
      </c>
      <c r="D683" s="44" t="s">
        <v>192</v>
      </c>
      <c r="E683" s="32" t="s">
        <v>743</v>
      </c>
      <c r="F683" s="44">
        <v>2.2499999999999998E-3</v>
      </c>
      <c r="G683" s="44">
        <v>0.09</v>
      </c>
      <c r="H683" s="44"/>
      <c r="I683" s="32" t="s">
        <v>164</v>
      </c>
      <c r="J683" s="35">
        <v>2.3584899999999998E-5</v>
      </c>
    </row>
    <row r="684" spans="1:10" x14ac:dyDescent="0.15">
      <c r="A684" s="32" t="s">
        <v>202</v>
      </c>
      <c r="B684" s="32" t="s">
        <v>925</v>
      </c>
      <c r="C684" s="32">
        <v>2.66</v>
      </c>
      <c r="D684" s="44" t="s">
        <v>193</v>
      </c>
      <c r="E684" s="32" t="s">
        <v>743</v>
      </c>
      <c r="F684" s="44">
        <v>1.2149999999999999E-3</v>
      </c>
      <c r="G684" s="44">
        <v>8.4000000000000005E-2</v>
      </c>
      <c r="H684" s="44"/>
      <c r="I684" s="32" t="s">
        <v>164</v>
      </c>
      <c r="J684" s="35">
        <v>1.36456E-5</v>
      </c>
    </row>
    <row r="685" spans="1:10" x14ac:dyDescent="0.15">
      <c r="A685" s="32" t="s">
        <v>202</v>
      </c>
      <c r="B685" s="32" t="s">
        <v>925</v>
      </c>
      <c r="C685" s="32">
        <v>2.66</v>
      </c>
      <c r="D685" s="44" t="s">
        <v>194</v>
      </c>
      <c r="E685" s="32" t="s">
        <v>743</v>
      </c>
      <c r="F685" s="44">
        <v>1.7799999999999999E-3</v>
      </c>
      <c r="G685" s="44">
        <v>7.0000000000000007E-2</v>
      </c>
      <c r="H685" s="44"/>
      <c r="I685" s="32" t="s">
        <v>164</v>
      </c>
      <c r="J685" s="35">
        <v>2.3989200000000001E-5</v>
      </c>
    </row>
    <row r="686" spans="1:10" x14ac:dyDescent="0.15">
      <c r="A686" s="32" t="s">
        <v>202</v>
      </c>
      <c r="B686" s="32" t="s">
        <v>925</v>
      </c>
      <c r="C686" s="32">
        <v>2.66</v>
      </c>
      <c r="D686" s="44" t="s">
        <v>195</v>
      </c>
      <c r="E686" s="32" t="s">
        <v>743</v>
      </c>
      <c r="F686" s="44">
        <v>8.4999999999999995E-4</v>
      </c>
      <c r="G686" s="44">
        <v>8.9999999999999993E-3</v>
      </c>
      <c r="H686" s="44"/>
      <c r="I686" s="32" t="s">
        <v>164</v>
      </c>
      <c r="J686" s="35">
        <v>5.9618599999999999E-5</v>
      </c>
    </row>
    <row r="687" spans="1:10" x14ac:dyDescent="0.15">
      <c r="A687" s="32" t="s">
        <v>202</v>
      </c>
      <c r="B687" s="32" t="s">
        <v>925</v>
      </c>
      <c r="C687" s="32">
        <v>2.66</v>
      </c>
      <c r="D687" s="44" t="s">
        <v>196</v>
      </c>
      <c r="E687" s="32" t="s">
        <v>743</v>
      </c>
      <c r="F687" s="44">
        <v>7.2000000000000005E-4</v>
      </c>
      <c r="G687" s="44">
        <v>0.05</v>
      </c>
      <c r="H687" s="44"/>
      <c r="I687" s="32" t="s">
        <v>164</v>
      </c>
      <c r="J687" s="35">
        <v>1.3584899999999999E-5</v>
      </c>
    </row>
    <row r="688" spans="1:10" x14ac:dyDescent="0.15">
      <c r="A688" s="32" t="s">
        <v>202</v>
      </c>
      <c r="B688" s="32" t="s">
        <v>925</v>
      </c>
      <c r="C688" s="32">
        <v>2.66</v>
      </c>
      <c r="D688" s="44" t="s">
        <v>197</v>
      </c>
      <c r="E688" s="32" t="s">
        <v>743</v>
      </c>
      <c r="F688" s="44">
        <v>7.7999999999999999E-5</v>
      </c>
      <c r="G688" s="44">
        <v>1.5E-3</v>
      </c>
      <c r="H688" s="44"/>
      <c r="I688" s="32" t="s">
        <v>164</v>
      </c>
      <c r="J688" s="35">
        <v>3.4688299999999998E-5</v>
      </c>
    </row>
    <row r="689" spans="1:10" x14ac:dyDescent="0.15">
      <c r="A689" s="32" t="s">
        <v>202</v>
      </c>
      <c r="B689" s="32" t="s">
        <v>925</v>
      </c>
      <c r="C689" s="32">
        <v>2.66</v>
      </c>
      <c r="D689" s="44" t="s">
        <v>198</v>
      </c>
      <c r="E689" s="32" t="s">
        <v>743</v>
      </c>
      <c r="F689" s="44">
        <v>6.6799999999999997E-4</v>
      </c>
      <c r="G689" s="44">
        <v>1.0333333E-2</v>
      </c>
      <c r="H689" s="44"/>
      <c r="I689" s="32" t="s">
        <v>164</v>
      </c>
      <c r="J689" s="35">
        <v>5.5272100000000002E-5</v>
      </c>
    </row>
    <row r="690" spans="1:10" x14ac:dyDescent="0.15">
      <c r="A690" s="32" t="s">
        <v>202</v>
      </c>
      <c r="B690" s="32" t="s">
        <v>925</v>
      </c>
      <c r="C690" s="32">
        <v>2.66</v>
      </c>
      <c r="D690" s="44" t="s">
        <v>199</v>
      </c>
      <c r="E690" s="32" t="s">
        <v>743</v>
      </c>
      <c r="F690" s="44">
        <v>8.6499999999999999E-4</v>
      </c>
      <c r="G690" s="44">
        <v>8.3333330000000001E-3</v>
      </c>
      <c r="H690" s="44"/>
      <c r="I690" s="32" t="s">
        <v>164</v>
      </c>
      <c r="J690" s="35">
        <v>7.85475E-5</v>
      </c>
    </row>
    <row r="691" spans="1:10" x14ac:dyDescent="0.15">
      <c r="A691" s="32" t="s">
        <v>202</v>
      </c>
      <c r="B691" s="32" t="s">
        <v>925</v>
      </c>
      <c r="C691" s="32">
        <v>2.66</v>
      </c>
      <c r="D691" s="44" t="s">
        <v>200</v>
      </c>
      <c r="E691" s="32" t="s">
        <v>743</v>
      </c>
      <c r="F691" s="44">
        <v>2.4329999999999998E-3</v>
      </c>
      <c r="G691" s="44">
        <v>1.2666667E-2</v>
      </c>
      <c r="H691" s="44"/>
      <c r="I691" s="32" t="s">
        <v>164</v>
      </c>
      <c r="J691" s="19">
        <v>1.3881200000000001E-4</v>
      </c>
    </row>
    <row r="692" spans="1:10" x14ac:dyDescent="0.15">
      <c r="A692" s="32" t="s">
        <v>202</v>
      </c>
      <c r="B692" s="32" t="s">
        <v>925</v>
      </c>
      <c r="C692" s="32">
        <v>2.66</v>
      </c>
      <c r="D692" s="44" t="s">
        <v>201</v>
      </c>
      <c r="E692" s="32" t="s">
        <v>743</v>
      </c>
      <c r="F692" s="44">
        <v>2.2599999999999999E-4</v>
      </c>
      <c r="G692" s="44">
        <v>3.333333E-3</v>
      </c>
      <c r="H692" s="44"/>
      <c r="I692" s="32" t="s">
        <v>164</v>
      </c>
      <c r="J692" s="35">
        <v>4.11142E-5</v>
      </c>
    </row>
    <row r="693" spans="1:10" x14ac:dyDescent="0.15">
      <c r="A693" s="29" t="s">
        <v>203</v>
      </c>
      <c r="B693" s="29" t="s">
        <v>925</v>
      </c>
      <c r="C693" s="29">
        <v>9.6</v>
      </c>
      <c r="D693" s="30" t="s">
        <v>165</v>
      </c>
      <c r="E693" s="29" t="s">
        <v>742</v>
      </c>
      <c r="F693" s="30">
        <v>6.2539999999999998E-2</v>
      </c>
      <c r="G693" s="30">
        <v>0.13200000000000001</v>
      </c>
      <c r="H693" s="30"/>
      <c r="I693" s="29" t="s">
        <v>164</v>
      </c>
      <c r="J693" s="19">
        <v>4.4696999999999998E-4</v>
      </c>
    </row>
    <row r="694" spans="1:10" x14ac:dyDescent="0.15">
      <c r="A694" s="29" t="s">
        <v>203</v>
      </c>
      <c r="B694" s="29" t="s">
        <v>925</v>
      </c>
      <c r="C694" s="29">
        <v>9.6</v>
      </c>
      <c r="D694" s="30" t="s">
        <v>166</v>
      </c>
      <c r="E694" s="29" t="s">
        <v>742</v>
      </c>
      <c r="F694" s="30">
        <v>2.8400000000000001E-3</v>
      </c>
      <c r="G694" s="30">
        <v>0.20150000000000001</v>
      </c>
      <c r="H694" s="30"/>
      <c r="I694" s="29" t="s">
        <v>164</v>
      </c>
      <c r="J694" s="35">
        <v>1.3296500000000001E-5</v>
      </c>
    </row>
    <row r="695" spans="1:10" x14ac:dyDescent="0.15">
      <c r="A695" s="29" t="s">
        <v>203</v>
      </c>
      <c r="B695" s="29" t="s">
        <v>925</v>
      </c>
      <c r="C695" s="29">
        <v>9.6</v>
      </c>
      <c r="D695" s="30" t="s">
        <v>167</v>
      </c>
      <c r="E695" s="29" t="s">
        <v>742</v>
      </c>
      <c r="F695" s="30">
        <v>3.0040000000000001E-2</v>
      </c>
      <c r="G695" s="30">
        <v>0.1885</v>
      </c>
      <c r="H695" s="30"/>
      <c r="I695" s="29" t="s">
        <v>164</v>
      </c>
      <c r="J695" s="19">
        <v>1.5034299999999999E-4</v>
      </c>
    </row>
    <row r="696" spans="1:10" x14ac:dyDescent="0.15">
      <c r="A696" s="29" t="s">
        <v>203</v>
      </c>
      <c r="B696" s="29" t="s">
        <v>925</v>
      </c>
      <c r="C696" s="29">
        <v>9.6</v>
      </c>
      <c r="D696" s="30" t="s">
        <v>168</v>
      </c>
      <c r="E696" s="29" t="s">
        <v>742</v>
      </c>
      <c r="F696" s="30">
        <v>4.6699999999999997E-3</v>
      </c>
      <c r="G696" s="30">
        <v>7.0999999999999994E-2</v>
      </c>
      <c r="H696" s="30"/>
      <c r="I696" s="29" t="s">
        <v>164</v>
      </c>
      <c r="J696" s="35">
        <v>6.2051599999999994E-5</v>
      </c>
    </row>
    <row r="697" spans="1:10" x14ac:dyDescent="0.15">
      <c r="A697" s="29" t="s">
        <v>203</v>
      </c>
      <c r="B697" s="29" t="s">
        <v>925</v>
      </c>
      <c r="C697" s="29">
        <v>9.6</v>
      </c>
      <c r="D697" s="30" t="s">
        <v>169</v>
      </c>
      <c r="E697" s="29" t="s">
        <v>742</v>
      </c>
      <c r="F697" s="30">
        <v>4.018E-2</v>
      </c>
      <c r="G697" s="30">
        <v>4.2799999999999998E-2</v>
      </c>
      <c r="H697" s="30"/>
      <c r="I697" s="29" t="s">
        <v>164</v>
      </c>
      <c r="J697" s="19">
        <v>7.3994700000000002E-4</v>
      </c>
    </row>
    <row r="698" spans="1:10" x14ac:dyDescent="0.15">
      <c r="A698" s="29" t="s">
        <v>203</v>
      </c>
      <c r="B698" s="29" t="s">
        <v>925</v>
      </c>
      <c r="C698" s="29">
        <v>9.6</v>
      </c>
      <c r="D698" s="30" t="s">
        <v>170</v>
      </c>
      <c r="E698" s="29" t="s">
        <v>742</v>
      </c>
      <c r="F698" s="30">
        <v>3.1029999999999999E-2</v>
      </c>
      <c r="G698" s="30">
        <v>3.0800000000000001E-2</v>
      </c>
      <c r="H698" s="30"/>
      <c r="I698" s="29" t="s">
        <v>164</v>
      </c>
      <c r="J698" s="19">
        <v>7.35139E-4</v>
      </c>
    </row>
    <row r="699" spans="1:10" x14ac:dyDescent="0.15">
      <c r="A699" s="29" t="s">
        <v>203</v>
      </c>
      <c r="B699" s="29" t="s">
        <v>925</v>
      </c>
      <c r="C699" s="29">
        <v>9.6</v>
      </c>
      <c r="D699" s="30" t="s">
        <v>171</v>
      </c>
      <c r="E699" s="29" t="s">
        <v>742</v>
      </c>
      <c r="F699" s="30">
        <v>5.8740000000000001E-2</v>
      </c>
      <c r="G699" s="30">
        <v>0.177666667</v>
      </c>
      <c r="H699" s="30"/>
      <c r="I699" s="29" t="s">
        <v>164</v>
      </c>
      <c r="J699" s="19">
        <v>3.1190500000000002E-4</v>
      </c>
    </row>
    <row r="700" spans="1:10" x14ac:dyDescent="0.15">
      <c r="A700" s="29" t="s">
        <v>203</v>
      </c>
      <c r="B700" s="29" t="s">
        <v>925</v>
      </c>
      <c r="C700" s="29">
        <v>9.6</v>
      </c>
      <c r="D700" s="30" t="s">
        <v>172</v>
      </c>
      <c r="E700" s="29" t="s">
        <v>742</v>
      </c>
      <c r="F700" s="30">
        <v>1.396E-2</v>
      </c>
      <c r="G700" s="30">
        <v>1.1666667E-2</v>
      </c>
      <c r="H700" s="30"/>
      <c r="I700" s="29" t="s">
        <v>164</v>
      </c>
      <c r="J700" s="19">
        <v>1.0087690000000001E-3</v>
      </c>
    </row>
    <row r="701" spans="1:10" x14ac:dyDescent="0.15">
      <c r="A701" s="29" t="s">
        <v>203</v>
      </c>
      <c r="B701" s="29" t="s">
        <v>925</v>
      </c>
      <c r="C701" s="29">
        <v>9.6</v>
      </c>
      <c r="D701" s="30" t="s">
        <v>173</v>
      </c>
      <c r="E701" s="29" t="s">
        <v>742</v>
      </c>
      <c r="F701" s="30">
        <v>1.8831000000000001E-2</v>
      </c>
      <c r="G701" s="30">
        <v>0.18</v>
      </c>
      <c r="H701" s="30"/>
      <c r="I701" s="29" t="s">
        <v>164</v>
      </c>
      <c r="J701" s="35">
        <v>9.8695000000000003E-5</v>
      </c>
    </row>
    <row r="702" spans="1:10" x14ac:dyDescent="0.15">
      <c r="A702" s="29" t="s">
        <v>203</v>
      </c>
      <c r="B702" s="29" t="s">
        <v>925</v>
      </c>
      <c r="C702" s="29">
        <v>9.6</v>
      </c>
      <c r="D702" s="30" t="s">
        <v>174</v>
      </c>
      <c r="E702" s="29" t="s">
        <v>742</v>
      </c>
      <c r="F702" s="30">
        <v>2.1579999999999998E-2</v>
      </c>
      <c r="G702" s="30">
        <v>6.6000000000000003E-2</v>
      </c>
      <c r="H702" s="30"/>
      <c r="I702" s="29" t="s">
        <v>164</v>
      </c>
      <c r="J702" s="19">
        <v>3.0846200000000002E-4</v>
      </c>
    </row>
    <row r="703" spans="1:10" x14ac:dyDescent="0.15">
      <c r="A703" s="29" t="s">
        <v>203</v>
      </c>
      <c r="B703" s="29" t="s">
        <v>925</v>
      </c>
      <c r="C703" s="29">
        <v>9.6</v>
      </c>
      <c r="D703" s="30" t="s">
        <v>175</v>
      </c>
      <c r="E703" s="29" t="s">
        <v>742</v>
      </c>
      <c r="F703" s="30">
        <v>1.9269999999999999E-2</v>
      </c>
      <c r="G703" s="30">
        <v>0.122</v>
      </c>
      <c r="H703" s="30"/>
      <c r="I703" s="29" t="s">
        <v>164</v>
      </c>
      <c r="J703" s="19">
        <v>1.4901000000000001E-4</v>
      </c>
    </row>
    <row r="704" spans="1:10" x14ac:dyDescent="0.15">
      <c r="A704" s="29" t="s">
        <v>203</v>
      </c>
      <c r="B704" s="29" t="s">
        <v>925</v>
      </c>
      <c r="C704" s="29">
        <v>9.6</v>
      </c>
      <c r="D704" s="30" t="s">
        <v>176</v>
      </c>
      <c r="E704" s="29" t="s">
        <v>742</v>
      </c>
      <c r="F704" s="30">
        <v>1.0659999999999999E-2</v>
      </c>
      <c r="G704" s="30">
        <v>6.0999999999999999E-2</v>
      </c>
      <c r="H704" s="30"/>
      <c r="I704" s="29" t="s">
        <v>164</v>
      </c>
      <c r="J704" s="19">
        <v>1.6486199999999999E-4</v>
      </c>
    </row>
    <row r="705" spans="1:10" x14ac:dyDescent="0.15">
      <c r="A705" s="29" t="s">
        <v>203</v>
      </c>
      <c r="B705" s="29" t="s">
        <v>925</v>
      </c>
      <c r="C705" s="29">
        <v>9.6</v>
      </c>
      <c r="D705" s="30" t="s">
        <v>177</v>
      </c>
      <c r="E705" s="29" t="s">
        <v>742</v>
      </c>
      <c r="F705" s="30">
        <v>2.9960000000000001E-2</v>
      </c>
      <c r="G705" s="30">
        <v>7.4999999999999997E-2</v>
      </c>
      <c r="H705" s="30"/>
      <c r="I705" s="29" t="s">
        <v>164</v>
      </c>
      <c r="J705" s="19">
        <v>3.76855E-4</v>
      </c>
    </row>
    <row r="706" spans="1:10" x14ac:dyDescent="0.15">
      <c r="A706" s="29" t="s">
        <v>203</v>
      </c>
      <c r="B706" s="29" t="s">
        <v>925</v>
      </c>
      <c r="C706" s="29">
        <v>9.6</v>
      </c>
      <c r="D706" s="30" t="s">
        <v>178</v>
      </c>
      <c r="E706" s="29" t="s">
        <v>742</v>
      </c>
      <c r="F706" s="30">
        <v>4.5739999999999999E-3</v>
      </c>
      <c r="G706" s="30">
        <v>6.5500000000000003E-2</v>
      </c>
      <c r="H706" s="30"/>
      <c r="I706" s="29" t="s">
        <v>164</v>
      </c>
      <c r="J706" s="35">
        <v>6.5879300000000005E-5</v>
      </c>
    </row>
    <row r="707" spans="1:10" x14ac:dyDescent="0.15">
      <c r="A707" s="29" t="s">
        <v>203</v>
      </c>
      <c r="B707" s="29" t="s">
        <v>925</v>
      </c>
      <c r="C707" s="29">
        <v>9.6</v>
      </c>
      <c r="D707" s="30" t="s">
        <v>179</v>
      </c>
      <c r="E707" s="29" t="s">
        <v>742</v>
      </c>
      <c r="F707" s="30">
        <v>9.7999999999999997E-3</v>
      </c>
      <c r="G707" s="30">
        <v>0.05</v>
      </c>
      <c r="H707" s="30"/>
      <c r="I707" s="29" t="s">
        <v>164</v>
      </c>
      <c r="J707" s="19">
        <v>1.8490600000000001E-4</v>
      </c>
    </row>
    <row r="708" spans="1:10" x14ac:dyDescent="0.15">
      <c r="A708" s="29" t="s">
        <v>203</v>
      </c>
      <c r="B708" s="29" t="s">
        <v>925</v>
      </c>
      <c r="C708" s="29">
        <v>9.6</v>
      </c>
      <c r="D708" s="30" t="s">
        <v>180</v>
      </c>
      <c r="E708" s="29" t="s">
        <v>742</v>
      </c>
      <c r="F708" s="30">
        <v>3.6570000000000001E-3</v>
      </c>
      <c r="G708" s="30">
        <v>4.3999999999999997E-2</v>
      </c>
      <c r="H708" s="30"/>
      <c r="I708" s="29" t="s">
        <v>164</v>
      </c>
      <c r="J708" s="35">
        <v>7.8409099999999994E-5</v>
      </c>
    </row>
    <row r="709" spans="1:10" x14ac:dyDescent="0.15">
      <c r="A709" s="29" t="s">
        <v>203</v>
      </c>
      <c r="B709" s="29" t="s">
        <v>925</v>
      </c>
      <c r="C709" s="29">
        <v>9.6</v>
      </c>
      <c r="D709" s="30" t="s">
        <v>181</v>
      </c>
      <c r="E709" s="29" t="s">
        <v>742</v>
      </c>
      <c r="F709" s="30">
        <v>6.1279999999999998E-3</v>
      </c>
      <c r="G709" s="30">
        <v>4.9250000000000002E-2</v>
      </c>
      <c r="H709" s="30"/>
      <c r="I709" s="29" t="s">
        <v>164</v>
      </c>
      <c r="J709" s="19">
        <v>1.17383E-4</v>
      </c>
    </row>
    <row r="710" spans="1:10" x14ac:dyDescent="0.15">
      <c r="A710" s="29" t="s">
        <v>203</v>
      </c>
      <c r="B710" s="29" t="s">
        <v>925</v>
      </c>
      <c r="C710" s="29">
        <v>9.6</v>
      </c>
      <c r="D710" s="30" t="s">
        <v>182</v>
      </c>
      <c r="E710" s="29" t="s">
        <v>742</v>
      </c>
      <c r="F710" s="30">
        <v>7.1999999999999998E-3</v>
      </c>
      <c r="G710" s="30">
        <v>3.95E-2</v>
      </c>
      <c r="H710" s="30"/>
      <c r="I710" s="29" t="s">
        <v>164</v>
      </c>
      <c r="J710" s="19">
        <v>1.7196099999999999E-4</v>
      </c>
    </row>
    <row r="711" spans="1:10" x14ac:dyDescent="0.15">
      <c r="A711" s="29" t="s">
        <v>203</v>
      </c>
      <c r="B711" s="29" t="s">
        <v>925</v>
      </c>
      <c r="C711" s="29">
        <v>9.6</v>
      </c>
      <c r="D711" s="30" t="s">
        <v>183</v>
      </c>
      <c r="E711" s="29" t="s">
        <v>742</v>
      </c>
      <c r="F711" s="30">
        <v>8.3400000000000002E-3</v>
      </c>
      <c r="G711" s="30">
        <v>2.3666666999999999E-2</v>
      </c>
      <c r="H711" s="30"/>
      <c r="I711" s="29" t="s">
        <v>164</v>
      </c>
      <c r="J711" s="19">
        <v>3.32448E-4</v>
      </c>
    </row>
    <row r="712" spans="1:10" x14ac:dyDescent="0.15">
      <c r="A712" s="29" t="s">
        <v>203</v>
      </c>
      <c r="B712" s="29" t="s">
        <v>925</v>
      </c>
      <c r="C712" s="29">
        <v>9.6</v>
      </c>
      <c r="D712" s="30" t="s">
        <v>184</v>
      </c>
      <c r="E712" s="29" t="s">
        <v>742</v>
      </c>
      <c r="F712" s="30">
        <v>3.6600000000000001E-3</v>
      </c>
      <c r="G712" s="30">
        <v>7.6499999999999999E-2</v>
      </c>
      <c r="H712" s="30"/>
      <c r="I712" s="29" t="s">
        <v>164</v>
      </c>
      <c r="J712" s="35">
        <v>4.5135000000000001E-5</v>
      </c>
    </row>
    <row r="713" spans="1:10" x14ac:dyDescent="0.15">
      <c r="A713" s="29" t="s">
        <v>203</v>
      </c>
      <c r="B713" s="29" t="s">
        <v>925</v>
      </c>
      <c r="C713" s="29">
        <v>9.6</v>
      </c>
      <c r="D713" s="30" t="s">
        <v>185</v>
      </c>
      <c r="E713" s="29" t="s">
        <v>742</v>
      </c>
      <c r="F713" s="30">
        <v>3.1600000000000003E-2</v>
      </c>
      <c r="G713" s="30">
        <v>0.155</v>
      </c>
      <c r="H713" s="30"/>
      <c r="I713" s="29" t="s">
        <v>164</v>
      </c>
      <c r="J713" s="19">
        <v>1.9233100000000001E-4</v>
      </c>
    </row>
    <row r="714" spans="1:10" x14ac:dyDescent="0.15">
      <c r="A714" s="29" t="s">
        <v>203</v>
      </c>
      <c r="B714" s="29" t="s">
        <v>925</v>
      </c>
      <c r="C714" s="29">
        <v>9.6</v>
      </c>
      <c r="D714" s="30" t="s">
        <v>186</v>
      </c>
      <c r="E714" s="29" t="s">
        <v>742</v>
      </c>
      <c r="F714" s="30">
        <v>1.7500000000000002E-2</v>
      </c>
      <c r="G714" s="30">
        <v>0.1</v>
      </c>
      <c r="H714" s="30"/>
      <c r="I714" s="29" t="s">
        <v>164</v>
      </c>
      <c r="J714" s="19">
        <v>1.6509399999999999E-4</v>
      </c>
    </row>
    <row r="715" spans="1:10" x14ac:dyDescent="0.15">
      <c r="A715" s="29" t="s">
        <v>203</v>
      </c>
      <c r="B715" s="29" t="s">
        <v>925</v>
      </c>
      <c r="C715" s="29">
        <v>9.6</v>
      </c>
      <c r="D715" s="30" t="s">
        <v>188</v>
      </c>
      <c r="E715" s="29" t="s">
        <v>742</v>
      </c>
      <c r="F715" s="30">
        <v>5.0000000000000001E-3</v>
      </c>
      <c r="G715" s="30">
        <v>1.6666667E-2</v>
      </c>
      <c r="H715" s="30"/>
      <c r="I715" s="29" t="s">
        <v>164</v>
      </c>
      <c r="J715" s="19">
        <v>2.0921899999999999E-4</v>
      </c>
    </row>
    <row r="716" spans="1:10" x14ac:dyDescent="0.15">
      <c r="A716" s="29" t="s">
        <v>203</v>
      </c>
      <c r="B716" s="29" t="s">
        <v>925</v>
      </c>
      <c r="C716" s="29">
        <v>9.6</v>
      </c>
      <c r="D716" s="30" t="s">
        <v>189</v>
      </c>
      <c r="E716" s="29" t="s">
        <v>743</v>
      </c>
      <c r="F716" s="30">
        <v>3.0890000000000001E-2</v>
      </c>
      <c r="G716" s="30">
        <v>2.2666667000000001E-2</v>
      </c>
      <c r="H716" s="30"/>
      <c r="I716" s="29" t="s">
        <v>164</v>
      </c>
      <c r="J716" s="19">
        <v>1.2378910000000001E-3</v>
      </c>
    </row>
    <row r="717" spans="1:10" x14ac:dyDescent="0.15">
      <c r="A717" s="29" t="s">
        <v>203</v>
      </c>
      <c r="B717" s="29" t="s">
        <v>925</v>
      </c>
      <c r="C717" s="29">
        <v>9.6</v>
      </c>
      <c r="D717" s="30" t="s">
        <v>190</v>
      </c>
      <c r="E717" s="29" t="s">
        <v>743</v>
      </c>
      <c r="F717" s="30">
        <v>1.8030000000000001E-2</v>
      </c>
      <c r="G717" s="30">
        <v>2.6666667000000002E-2</v>
      </c>
      <c r="H717" s="30"/>
      <c r="I717" s="29" t="s">
        <v>164</v>
      </c>
      <c r="J717" s="19">
        <v>5.5239799999999995E-4</v>
      </c>
    </row>
    <row r="718" spans="1:10" x14ac:dyDescent="0.15">
      <c r="A718" s="29" t="s">
        <v>203</v>
      </c>
      <c r="B718" s="29" t="s">
        <v>925</v>
      </c>
      <c r="C718" s="29">
        <v>9.6</v>
      </c>
      <c r="D718" s="30" t="s">
        <v>191</v>
      </c>
      <c r="E718" s="29" t="s">
        <v>743</v>
      </c>
      <c r="F718" s="30">
        <v>1.044E-2</v>
      </c>
      <c r="G718" s="30">
        <v>5.0666666999999999E-2</v>
      </c>
      <c r="H718" s="30"/>
      <c r="I718" s="29" t="s">
        <v>164</v>
      </c>
      <c r="J718" s="19">
        <v>1.9014100000000001E-4</v>
      </c>
    </row>
    <row r="719" spans="1:10" x14ac:dyDescent="0.15">
      <c r="A719" s="29" t="s">
        <v>203</v>
      </c>
      <c r="B719" s="29" t="s">
        <v>925</v>
      </c>
      <c r="C719" s="29">
        <v>9.6</v>
      </c>
      <c r="D719" s="30" t="s">
        <v>192</v>
      </c>
      <c r="E719" s="29" t="s">
        <v>743</v>
      </c>
      <c r="F719" s="30">
        <v>1.2256E-2</v>
      </c>
      <c r="G719" s="30">
        <v>3.8666667000000002E-2</v>
      </c>
      <c r="H719" s="30"/>
      <c r="I719" s="29" t="s">
        <v>164</v>
      </c>
      <c r="J719" s="19">
        <v>2.3985400000000001E-4</v>
      </c>
    </row>
    <row r="720" spans="1:10" x14ac:dyDescent="0.15">
      <c r="A720" s="29" t="s">
        <v>203</v>
      </c>
      <c r="B720" s="29" t="s">
        <v>925</v>
      </c>
      <c r="C720" s="29">
        <v>9.6</v>
      </c>
      <c r="D720" s="30" t="s">
        <v>193</v>
      </c>
      <c r="E720" s="29" t="s">
        <v>743</v>
      </c>
      <c r="F720" s="30">
        <v>2.5630000000000002E-3</v>
      </c>
      <c r="G720" s="30">
        <v>2.1666667000000001E-2</v>
      </c>
      <c r="H720" s="30"/>
      <c r="I720" s="29" t="s">
        <v>164</v>
      </c>
      <c r="J720" s="35">
        <v>9.8533899999999995E-5</v>
      </c>
    </row>
    <row r="721" spans="1:10" x14ac:dyDescent="0.15">
      <c r="A721" s="29" t="s">
        <v>203</v>
      </c>
      <c r="B721" s="29" t="s">
        <v>925</v>
      </c>
      <c r="C721" s="29">
        <v>9.6</v>
      </c>
      <c r="D721" s="30" t="s">
        <v>194</v>
      </c>
      <c r="E721" s="29" t="s">
        <v>743</v>
      </c>
      <c r="F721" s="30">
        <v>9.0100000000000006E-3</v>
      </c>
      <c r="G721" s="30">
        <v>0.13750000000000001</v>
      </c>
      <c r="H721" s="30"/>
      <c r="I721" s="29" t="s">
        <v>164</v>
      </c>
      <c r="J721" s="35">
        <v>6.1818199999999997E-5</v>
      </c>
    </row>
    <row r="722" spans="1:10" x14ac:dyDescent="0.15">
      <c r="A722" s="29" t="s">
        <v>203</v>
      </c>
      <c r="B722" s="29" t="s">
        <v>925</v>
      </c>
      <c r="C722" s="29">
        <v>9.6</v>
      </c>
      <c r="D722" s="30" t="s">
        <v>195</v>
      </c>
      <c r="E722" s="29" t="s">
        <v>743</v>
      </c>
      <c r="F722" s="30">
        <v>4.4000000000000003E-3</v>
      </c>
      <c r="G722" s="30">
        <v>1.4E-2</v>
      </c>
      <c r="H722" s="30"/>
      <c r="I722" s="29" t="s">
        <v>164</v>
      </c>
      <c r="J722" s="19">
        <v>2.23768E-4</v>
      </c>
    </row>
    <row r="723" spans="1:10" x14ac:dyDescent="0.15">
      <c r="A723" s="29" t="s">
        <v>203</v>
      </c>
      <c r="B723" s="29" t="s">
        <v>925</v>
      </c>
      <c r="C723" s="29">
        <v>9.6</v>
      </c>
      <c r="D723" s="30" t="s">
        <v>196</v>
      </c>
      <c r="E723" s="29" t="s">
        <v>743</v>
      </c>
      <c r="F723" s="30">
        <v>2.8400000000000001E-3</v>
      </c>
      <c r="G723" s="30">
        <v>2.5666667000000001E-2</v>
      </c>
      <c r="H723" s="30"/>
      <c r="I723" s="29" t="s">
        <v>164</v>
      </c>
      <c r="J723" s="35">
        <v>9.6323599999999994E-5</v>
      </c>
    </row>
    <row r="724" spans="1:10" x14ac:dyDescent="0.15">
      <c r="A724" s="29" t="s">
        <v>203</v>
      </c>
      <c r="B724" s="29" t="s">
        <v>925</v>
      </c>
      <c r="C724" s="29">
        <v>9.6</v>
      </c>
      <c r="D724" s="30" t="s">
        <v>197</v>
      </c>
      <c r="E724" s="29" t="s">
        <v>743</v>
      </c>
      <c r="F724" s="30">
        <v>4.1419999999999998E-3</v>
      </c>
      <c r="G724" s="30">
        <v>2.0333332999999999E-2</v>
      </c>
      <c r="H724" s="30"/>
      <c r="I724" s="29" t="s">
        <v>164</v>
      </c>
      <c r="J724" s="19">
        <v>1.4130800000000001E-4</v>
      </c>
    </row>
    <row r="725" spans="1:10" x14ac:dyDescent="0.15">
      <c r="A725" s="29" t="s">
        <v>203</v>
      </c>
      <c r="B725" s="29" t="s">
        <v>925</v>
      </c>
      <c r="C725" s="29">
        <v>9.6</v>
      </c>
      <c r="D725" s="30" t="s">
        <v>198</v>
      </c>
      <c r="E725" s="29" t="s">
        <v>743</v>
      </c>
      <c r="F725" s="30">
        <v>1.0167000000000001E-2</v>
      </c>
      <c r="G725" s="30">
        <v>1.8666667000000001E-2</v>
      </c>
      <c r="H725" s="30"/>
      <c r="I725" s="29" t="s">
        <v>164</v>
      </c>
      <c r="J725" s="19">
        <v>3.9361700000000002E-4</v>
      </c>
    </row>
    <row r="726" spans="1:10" x14ac:dyDescent="0.15">
      <c r="A726" s="29" t="s">
        <v>203</v>
      </c>
      <c r="B726" s="29" t="s">
        <v>925</v>
      </c>
      <c r="C726" s="29">
        <v>9.6</v>
      </c>
      <c r="D726" s="30" t="s">
        <v>199</v>
      </c>
      <c r="E726" s="29" t="s">
        <v>743</v>
      </c>
      <c r="F726" s="30">
        <v>4.7999999999999996E-3</v>
      </c>
      <c r="G726" s="30">
        <v>1.5333332999999999E-2</v>
      </c>
      <c r="H726" s="30"/>
      <c r="I726" s="29" t="s">
        <v>164</v>
      </c>
      <c r="J726" s="19">
        <v>2.5489499999999999E-4</v>
      </c>
    </row>
    <row r="727" spans="1:10" x14ac:dyDescent="0.15">
      <c r="A727" s="29" t="s">
        <v>203</v>
      </c>
      <c r="B727" s="29" t="s">
        <v>925</v>
      </c>
      <c r="C727" s="29">
        <v>9.6</v>
      </c>
      <c r="D727" s="30" t="s">
        <v>200</v>
      </c>
      <c r="E727" s="29" t="s">
        <v>743</v>
      </c>
      <c r="F727" s="30">
        <v>4.5999999999999999E-3</v>
      </c>
      <c r="G727" s="30">
        <v>1.7333332999999999E-2</v>
      </c>
      <c r="H727" s="30"/>
      <c r="I727" s="29" t="s">
        <v>164</v>
      </c>
      <c r="J727" s="19">
        <v>1.9818200000000001E-4</v>
      </c>
    </row>
    <row r="728" spans="1:10" x14ac:dyDescent="0.15">
      <c r="A728" s="29" t="s">
        <v>203</v>
      </c>
      <c r="B728" s="29" t="s">
        <v>925</v>
      </c>
      <c r="C728" s="29">
        <v>9.6</v>
      </c>
      <c r="D728" s="30" t="s">
        <v>201</v>
      </c>
      <c r="E728" s="29" t="s">
        <v>743</v>
      </c>
      <c r="F728" s="30">
        <v>3.4030000000000002E-3</v>
      </c>
      <c r="G728" s="30">
        <v>2.4E-2</v>
      </c>
      <c r="H728" s="30"/>
      <c r="I728" s="29" t="s">
        <v>164</v>
      </c>
      <c r="J728" s="19">
        <v>1.19537E-4</v>
      </c>
    </row>
    <row r="729" spans="1:10" x14ac:dyDescent="0.15">
      <c r="A729" s="29"/>
      <c r="B729" s="29"/>
      <c r="C729" s="29"/>
      <c r="D729" s="30">
        <f>F729/E729</f>
        <v>5.4118061232431888E-2</v>
      </c>
      <c r="E729" s="29">
        <f>SUM(J693:J728)</f>
        <v>9.9373371999999967E-3</v>
      </c>
      <c r="F729" s="30">
        <f>SUM(F693:F728)/1040</f>
        <v>5.377894230769231E-4</v>
      </c>
      <c r="G729" s="30"/>
      <c r="H729" s="30"/>
      <c r="I729" s="29"/>
    </row>
    <row r="730" spans="1:10" x14ac:dyDescent="0.15">
      <c r="A730" s="31" t="s">
        <v>204</v>
      </c>
      <c r="B730" s="31" t="s">
        <v>925</v>
      </c>
      <c r="C730" s="31">
        <v>6.6</v>
      </c>
      <c r="D730" s="43" t="s">
        <v>165</v>
      </c>
      <c r="E730" s="31" t="s">
        <v>742</v>
      </c>
      <c r="F730" s="43">
        <v>5.0790000000000002E-2</v>
      </c>
      <c r="G730" s="43">
        <v>0.17233333300000001</v>
      </c>
      <c r="H730" s="43"/>
      <c r="I730" s="31" t="s">
        <v>164</v>
      </c>
      <c r="J730" s="19">
        <v>2.73233E-4</v>
      </c>
    </row>
    <row r="731" spans="1:10" x14ac:dyDescent="0.15">
      <c r="A731" s="31" t="s">
        <v>204</v>
      </c>
      <c r="B731" s="31" t="s">
        <v>925</v>
      </c>
      <c r="C731" s="31">
        <v>6.6</v>
      </c>
      <c r="D731" s="43" t="s">
        <v>166</v>
      </c>
      <c r="E731" s="31" t="s">
        <v>742</v>
      </c>
      <c r="F731" s="43">
        <v>6.5700000000000003E-3</v>
      </c>
      <c r="G731" s="43">
        <v>8.9333333000000001E-2</v>
      </c>
      <c r="H731" s="43"/>
      <c r="I731" s="31" t="s">
        <v>164</v>
      </c>
      <c r="J731" s="35">
        <v>6.9400000000000006E-5</v>
      </c>
    </row>
    <row r="732" spans="1:10" x14ac:dyDescent="0.15">
      <c r="A732" s="31" t="s">
        <v>204</v>
      </c>
      <c r="B732" s="31" t="s">
        <v>925</v>
      </c>
      <c r="C732" s="31">
        <v>6.6</v>
      </c>
      <c r="D732" s="43" t="s">
        <v>167</v>
      </c>
      <c r="E732" s="31" t="s">
        <v>742</v>
      </c>
      <c r="F732" s="43">
        <v>1.9380000000000001E-2</v>
      </c>
      <c r="G732" s="43">
        <v>0.2026</v>
      </c>
      <c r="H732" s="43"/>
      <c r="I732" s="31" t="s">
        <v>164</v>
      </c>
      <c r="J732" s="35">
        <v>9.0199999999999997E-5</v>
      </c>
    </row>
    <row r="733" spans="1:10" x14ac:dyDescent="0.15">
      <c r="A733" s="31" t="s">
        <v>204</v>
      </c>
      <c r="B733" s="31" t="s">
        <v>925</v>
      </c>
      <c r="C733" s="31">
        <v>6.6</v>
      </c>
      <c r="D733" s="43" t="s">
        <v>168</v>
      </c>
      <c r="E733" s="31" t="s">
        <v>742</v>
      </c>
      <c r="F733" s="43">
        <v>8.1099999999999992E-3</v>
      </c>
      <c r="G733" s="43">
        <v>2.8666667E-2</v>
      </c>
      <c r="H733" s="43"/>
      <c r="I733" s="31" t="s">
        <v>164</v>
      </c>
      <c r="J733" s="19">
        <v>1.95193E-4</v>
      </c>
    </row>
    <row r="734" spans="1:10" x14ac:dyDescent="0.15">
      <c r="A734" s="31" t="s">
        <v>204</v>
      </c>
      <c r="B734" s="31" t="s">
        <v>925</v>
      </c>
      <c r="C734" s="31">
        <v>6.6</v>
      </c>
      <c r="D734" s="43" t="s">
        <v>169</v>
      </c>
      <c r="E734" s="31" t="s">
        <v>742</v>
      </c>
      <c r="F734" s="43">
        <v>5.3060000000000003E-2</v>
      </c>
      <c r="G734" s="43">
        <v>4.7333332999999998E-2</v>
      </c>
      <c r="H734" s="43"/>
      <c r="I734" s="31" t="s">
        <v>164</v>
      </c>
      <c r="J734" s="19">
        <v>9.5845100000000003E-4</v>
      </c>
    </row>
    <row r="735" spans="1:10" x14ac:dyDescent="0.15">
      <c r="A735" s="31" t="s">
        <v>204</v>
      </c>
      <c r="B735" s="31" t="s">
        <v>925</v>
      </c>
      <c r="C735" s="31">
        <v>6.6</v>
      </c>
      <c r="D735" s="43" t="s">
        <v>170</v>
      </c>
      <c r="E735" s="31" t="s">
        <v>742</v>
      </c>
      <c r="F735" s="43">
        <v>3.1419999999999997E-2</v>
      </c>
      <c r="G735" s="43">
        <v>3.1333332999999998E-2</v>
      </c>
      <c r="H735" s="43"/>
      <c r="I735" s="31" t="s">
        <v>164</v>
      </c>
      <c r="J735" s="19">
        <v>7.8427399999999995E-4</v>
      </c>
    </row>
    <row r="736" spans="1:10" x14ac:dyDescent="0.15">
      <c r="A736" s="31" t="s">
        <v>204</v>
      </c>
      <c r="B736" s="31" t="s">
        <v>925</v>
      </c>
      <c r="C736" s="31">
        <v>6.6</v>
      </c>
      <c r="D736" s="43" t="s">
        <v>171</v>
      </c>
      <c r="E736" s="31" t="s">
        <v>742</v>
      </c>
      <c r="F736" s="43">
        <v>2.513E-2</v>
      </c>
      <c r="G736" s="43">
        <v>4.2000000000000003E-2</v>
      </c>
      <c r="H736" s="43"/>
      <c r="I736" s="31" t="s">
        <v>164</v>
      </c>
      <c r="J736" s="19">
        <v>4.9992700000000005E-4</v>
      </c>
    </row>
    <row r="737" spans="1:10" x14ac:dyDescent="0.15">
      <c r="A737" s="31" t="s">
        <v>204</v>
      </c>
      <c r="B737" s="31" t="s">
        <v>925</v>
      </c>
      <c r="C737" s="31">
        <v>6.6</v>
      </c>
      <c r="D737" s="43" t="s">
        <v>172</v>
      </c>
      <c r="E737" s="31" t="s">
        <v>742</v>
      </c>
      <c r="F737" s="43">
        <v>1.694E-2</v>
      </c>
      <c r="G737" s="43">
        <v>2.9000000000000001E-2</v>
      </c>
      <c r="H737" s="43"/>
      <c r="I737" s="31" t="s">
        <v>164</v>
      </c>
      <c r="J737" s="19">
        <v>4.9530199999999998E-4</v>
      </c>
    </row>
    <row r="738" spans="1:10" x14ac:dyDescent="0.15">
      <c r="A738" s="31" t="s">
        <v>204</v>
      </c>
      <c r="B738" s="31" t="s">
        <v>925</v>
      </c>
      <c r="C738" s="31">
        <v>6.6</v>
      </c>
      <c r="D738" s="43" t="s">
        <v>173</v>
      </c>
      <c r="E738" s="31" t="s">
        <v>742</v>
      </c>
      <c r="F738" s="43">
        <v>1.8679999999999999E-2</v>
      </c>
      <c r="G738" s="43">
        <v>7.6666666999999994E-2</v>
      </c>
      <c r="H738" s="43"/>
      <c r="I738" s="31" t="s">
        <v>164</v>
      </c>
      <c r="J738" s="19">
        <v>2.2986099999999999E-4</v>
      </c>
    </row>
    <row r="739" spans="1:10" x14ac:dyDescent="0.15">
      <c r="A739" s="31" t="s">
        <v>204</v>
      </c>
      <c r="B739" s="31" t="s">
        <v>925</v>
      </c>
      <c r="C739" s="31">
        <v>6.6</v>
      </c>
      <c r="D739" s="43" t="s">
        <v>174</v>
      </c>
      <c r="E739" s="31" t="s">
        <v>742</v>
      </c>
      <c r="F739" s="43">
        <v>5.7680000000000002E-2</v>
      </c>
      <c r="G739" s="43">
        <v>0.19266666700000001</v>
      </c>
      <c r="H739" s="43"/>
      <c r="I739" s="31" t="s">
        <v>164</v>
      </c>
      <c r="J739" s="19">
        <v>2.8243099999999998E-4</v>
      </c>
    </row>
    <row r="740" spans="1:10" x14ac:dyDescent="0.15">
      <c r="A740" s="31" t="s">
        <v>204</v>
      </c>
      <c r="B740" s="31" t="s">
        <v>925</v>
      </c>
      <c r="C740" s="31">
        <v>6.6</v>
      </c>
      <c r="D740" s="43" t="s">
        <v>175</v>
      </c>
      <c r="E740" s="31" t="s">
        <v>742</v>
      </c>
      <c r="F740" s="43">
        <v>1.3690000000000001E-2</v>
      </c>
      <c r="G740" s="43">
        <v>0.124</v>
      </c>
      <c r="H740" s="43"/>
      <c r="I740" s="31" t="s">
        <v>164</v>
      </c>
      <c r="J740" s="19">
        <v>1.0415400000000001E-4</v>
      </c>
    </row>
    <row r="741" spans="1:10" x14ac:dyDescent="0.15">
      <c r="A741" s="31" t="s">
        <v>204</v>
      </c>
      <c r="B741" s="31" t="s">
        <v>925</v>
      </c>
      <c r="C741" s="31">
        <v>6.6</v>
      </c>
      <c r="D741" s="43" t="s">
        <v>176</v>
      </c>
      <c r="E741" s="31" t="s">
        <v>742</v>
      </c>
      <c r="F741" s="43">
        <v>3.2200000000000002E-3</v>
      </c>
      <c r="G741" s="43">
        <v>4.1500000000000002E-2</v>
      </c>
      <c r="H741" s="43"/>
      <c r="I741" s="31" t="s">
        <v>164</v>
      </c>
      <c r="J741" s="35">
        <v>7.3200000000000004E-5</v>
      </c>
    </row>
    <row r="742" spans="1:10" x14ac:dyDescent="0.15">
      <c r="A742" s="31" t="s">
        <v>204</v>
      </c>
      <c r="B742" s="31" t="s">
        <v>925</v>
      </c>
      <c r="C742" s="31">
        <v>6.6</v>
      </c>
      <c r="D742" s="43" t="s">
        <v>177</v>
      </c>
      <c r="E742" s="31" t="s">
        <v>742</v>
      </c>
      <c r="F742" s="43">
        <v>1.9369999999999998E-2</v>
      </c>
      <c r="G742" s="43">
        <v>2.9499999999999998E-2</v>
      </c>
      <c r="H742" s="43"/>
      <c r="I742" s="31" t="s">
        <v>164</v>
      </c>
      <c r="J742" s="19">
        <v>4.8590100000000001E-4</v>
      </c>
    </row>
    <row r="743" spans="1:10" x14ac:dyDescent="0.15">
      <c r="A743" s="31" t="s">
        <v>204</v>
      </c>
      <c r="B743" s="31" t="s">
        <v>925</v>
      </c>
      <c r="C743" s="31">
        <v>6.6</v>
      </c>
      <c r="D743" s="43" t="s">
        <v>178</v>
      </c>
      <c r="E743" s="31" t="s">
        <v>742</v>
      </c>
      <c r="F743" s="43">
        <v>6.0899999999999999E-3</v>
      </c>
      <c r="G743" s="43">
        <v>2.2666667000000001E-2</v>
      </c>
      <c r="H743" s="43"/>
      <c r="I743" s="31" t="s">
        <v>164</v>
      </c>
      <c r="J743" s="19">
        <v>2.1950999999999999E-4</v>
      </c>
    </row>
    <row r="744" spans="1:10" x14ac:dyDescent="0.15">
      <c r="A744" s="31" t="s">
        <v>204</v>
      </c>
      <c r="B744" s="31" t="s">
        <v>925</v>
      </c>
      <c r="C744" s="31">
        <v>6.6</v>
      </c>
      <c r="D744" s="43" t="s">
        <v>179</v>
      </c>
      <c r="E744" s="31" t="s">
        <v>742</v>
      </c>
      <c r="F744" s="43">
        <v>5.0400000000000002E-3</v>
      </c>
      <c r="G744" s="43">
        <v>1.9666666999999999E-2</v>
      </c>
      <c r="H744" s="43"/>
      <c r="I744" s="31" t="s">
        <v>164</v>
      </c>
      <c r="J744" s="19">
        <v>2.27185E-4</v>
      </c>
    </row>
    <row r="745" spans="1:10" x14ac:dyDescent="0.15">
      <c r="A745" s="31" t="s">
        <v>204</v>
      </c>
      <c r="B745" s="31" t="s">
        <v>925</v>
      </c>
      <c r="C745" s="31">
        <v>6.6</v>
      </c>
      <c r="D745" s="43" t="s">
        <v>181</v>
      </c>
      <c r="E745" s="31" t="s">
        <v>742</v>
      </c>
      <c r="F745" s="43">
        <v>5.4099999999999999E-3</v>
      </c>
      <c r="G745" s="43">
        <v>2.18E-2</v>
      </c>
      <c r="H745" s="43"/>
      <c r="I745" s="31" t="s">
        <v>164</v>
      </c>
      <c r="J745" s="19">
        <v>1.95603E-4</v>
      </c>
    </row>
    <row r="746" spans="1:10" x14ac:dyDescent="0.15">
      <c r="A746" s="31" t="s">
        <v>204</v>
      </c>
      <c r="B746" s="31" t="s">
        <v>925</v>
      </c>
      <c r="C746" s="31">
        <v>6.6</v>
      </c>
      <c r="D746" s="43" t="s">
        <v>182</v>
      </c>
      <c r="E746" s="31" t="s">
        <v>742</v>
      </c>
      <c r="F746" s="43">
        <v>8.5599999999999999E-3</v>
      </c>
      <c r="G746" s="43">
        <v>1.4999999999999999E-2</v>
      </c>
      <c r="H746" s="43"/>
      <c r="I746" s="31" t="s">
        <v>164</v>
      </c>
      <c r="J746" s="19">
        <v>4.3183499999999999E-4</v>
      </c>
    </row>
    <row r="747" spans="1:10" x14ac:dyDescent="0.15">
      <c r="A747" s="31" t="s">
        <v>204</v>
      </c>
      <c r="B747" s="31" t="s">
        <v>925</v>
      </c>
      <c r="C747" s="31">
        <v>6.6</v>
      </c>
      <c r="D747" s="43" t="s">
        <v>183</v>
      </c>
      <c r="E747" s="31" t="s">
        <v>742</v>
      </c>
      <c r="F747" s="43">
        <v>1.405E-2</v>
      </c>
      <c r="G747" s="43">
        <v>1.4999999999999999E-2</v>
      </c>
      <c r="H747" s="43"/>
      <c r="I747" s="31" t="s">
        <v>164</v>
      </c>
      <c r="J747" s="19">
        <v>7.3898200000000001E-4</v>
      </c>
    </row>
    <row r="748" spans="1:10" x14ac:dyDescent="0.15">
      <c r="A748" s="31" t="s">
        <v>204</v>
      </c>
      <c r="B748" s="31" t="s">
        <v>925</v>
      </c>
      <c r="C748" s="31">
        <v>6.6</v>
      </c>
      <c r="D748" s="43" t="s">
        <v>184</v>
      </c>
      <c r="E748" s="31" t="s">
        <v>742</v>
      </c>
      <c r="F748" s="43">
        <v>6.4000000000000003E-3</v>
      </c>
      <c r="G748" s="43">
        <v>2.5499999999999998E-2</v>
      </c>
      <c r="H748" s="43"/>
      <c r="I748" s="31" t="s">
        <v>164</v>
      </c>
      <c r="J748" s="19">
        <v>2.1458999999999999E-4</v>
      </c>
    </row>
    <row r="749" spans="1:10" x14ac:dyDescent="0.15">
      <c r="A749" s="31" t="s">
        <v>204</v>
      </c>
      <c r="B749" s="31" t="s">
        <v>925</v>
      </c>
      <c r="C749" s="31">
        <v>6.6</v>
      </c>
      <c r="D749" s="43" t="s">
        <v>185</v>
      </c>
      <c r="E749" s="31" t="s">
        <v>742</v>
      </c>
      <c r="F749" s="43">
        <v>5.5539999999999999E-2</v>
      </c>
      <c r="G749" s="43">
        <v>0.11675000000000001</v>
      </c>
      <c r="H749" s="43"/>
      <c r="I749" s="31" t="s">
        <v>164</v>
      </c>
      <c r="J749" s="19">
        <v>4.4879000000000002E-4</v>
      </c>
    </row>
    <row r="750" spans="1:10" x14ac:dyDescent="0.15">
      <c r="A750" s="31" t="s">
        <v>204</v>
      </c>
      <c r="B750" s="31" t="s">
        <v>925</v>
      </c>
      <c r="C750" s="31">
        <v>6.6</v>
      </c>
      <c r="D750" s="43" t="s">
        <v>186</v>
      </c>
      <c r="E750" s="31" t="s">
        <v>742</v>
      </c>
      <c r="F750" s="43">
        <v>1.3299999999999999E-2</v>
      </c>
      <c r="G750" s="43">
        <v>7.3499999999999996E-2</v>
      </c>
      <c r="H750" s="43"/>
      <c r="I750" s="31" t="s">
        <v>164</v>
      </c>
      <c r="J750" s="19">
        <v>1.7071E-4</v>
      </c>
    </row>
    <row r="751" spans="1:10" x14ac:dyDescent="0.15">
      <c r="A751" s="31" t="s">
        <v>204</v>
      </c>
      <c r="B751" s="31" t="s">
        <v>925</v>
      </c>
      <c r="C751" s="31">
        <v>6.6</v>
      </c>
      <c r="D751" s="43" t="s">
        <v>187</v>
      </c>
      <c r="E751" s="31" t="s">
        <v>742</v>
      </c>
      <c r="F751" s="43">
        <v>1.6240000000000001E-2</v>
      </c>
      <c r="G751" s="43">
        <v>8.3599999999999994E-2</v>
      </c>
      <c r="H751" s="43"/>
      <c r="I751" s="31" t="s">
        <v>164</v>
      </c>
      <c r="J751" s="19">
        <v>1.6774199999999999E-4</v>
      </c>
    </row>
    <row r="752" spans="1:10" x14ac:dyDescent="0.15">
      <c r="A752" s="31" t="s">
        <v>204</v>
      </c>
      <c r="B752" s="31" t="s">
        <v>925</v>
      </c>
      <c r="C752" s="31">
        <v>6.6</v>
      </c>
      <c r="D752" s="43" t="s">
        <v>188</v>
      </c>
      <c r="E752" s="31" t="s">
        <v>742</v>
      </c>
      <c r="F752" s="43">
        <v>7.62E-3</v>
      </c>
      <c r="G752" s="43">
        <v>3.2000000000000001E-2</v>
      </c>
      <c r="H752" s="43"/>
      <c r="I752" s="31" t="s">
        <v>164</v>
      </c>
      <c r="J752" s="19">
        <v>1.6340199999999999E-4</v>
      </c>
    </row>
    <row r="753" spans="1:10" x14ac:dyDescent="0.15">
      <c r="A753" s="31" t="s">
        <v>204</v>
      </c>
      <c r="B753" s="31" t="s">
        <v>925</v>
      </c>
      <c r="C753" s="31">
        <v>6.6</v>
      </c>
      <c r="D753" s="43" t="s">
        <v>189</v>
      </c>
      <c r="E753" s="31" t="s">
        <v>743</v>
      </c>
      <c r="F753" s="43">
        <v>3.5700000000000003E-2</v>
      </c>
      <c r="G753" s="43">
        <v>2.3599999999999999E-2</v>
      </c>
      <c r="H753" s="43"/>
      <c r="I753" s="31" t="s">
        <v>164</v>
      </c>
      <c r="J753" s="19">
        <v>1.0660699999999999E-3</v>
      </c>
    </row>
    <row r="754" spans="1:10" x14ac:dyDescent="0.15">
      <c r="A754" s="31" t="s">
        <v>204</v>
      </c>
      <c r="B754" s="31" t="s">
        <v>925</v>
      </c>
      <c r="C754" s="31">
        <v>6.6</v>
      </c>
      <c r="D754" s="43" t="s">
        <v>190</v>
      </c>
      <c r="E754" s="31" t="s">
        <v>743</v>
      </c>
      <c r="F754" s="43">
        <v>1.7964999999999998E-2</v>
      </c>
      <c r="G754" s="43">
        <v>2.5999999999999999E-2</v>
      </c>
      <c r="H754" s="43"/>
      <c r="I754" s="31" t="s">
        <v>164</v>
      </c>
      <c r="J754" s="19">
        <v>5.8251500000000003E-4</v>
      </c>
    </row>
    <row r="755" spans="1:10" x14ac:dyDescent="0.15">
      <c r="A755" s="31" t="s">
        <v>204</v>
      </c>
      <c r="B755" s="31" t="s">
        <v>925</v>
      </c>
      <c r="C755" s="31">
        <v>6.6</v>
      </c>
      <c r="D755" s="43" t="s">
        <v>191</v>
      </c>
      <c r="E755" s="31" t="s">
        <v>743</v>
      </c>
      <c r="F755" s="43">
        <v>7.2399999999999999E-3</v>
      </c>
      <c r="G755" s="43">
        <v>4.4200000000000003E-2</v>
      </c>
      <c r="H755" s="43"/>
      <c r="I755" s="31" t="s">
        <v>164</v>
      </c>
      <c r="J755" s="19">
        <v>1.40051E-4</v>
      </c>
    </row>
    <row r="756" spans="1:10" x14ac:dyDescent="0.15">
      <c r="A756" s="31" t="s">
        <v>204</v>
      </c>
      <c r="B756" s="31" t="s">
        <v>925</v>
      </c>
      <c r="C756" s="31">
        <v>6.6</v>
      </c>
      <c r="D756" s="43" t="s">
        <v>193</v>
      </c>
      <c r="E756" s="31" t="s">
        <v>743</v>
      </c>
      <c r="F756" s="43">
        <v>6.9499999999999996E-3</v>
      </c>
      <c r="G756" s="43">
        <v>4.4999999999999998E-2</v>
      </c>
      <c r="H756" s="43"/>
      <c r="I756" s="31" t="s">
        <v>164</v>
      </c>
      <c r="J756" s="19">
        <v>1.39581E-4</v>
      </c>
    </row>
    <row r="757" spans="1:10" x14ac:dyDescent="0.15">
      <c r="A757" s="31" t="s">
        <v>204</v>
      </c>
      <c r="B757" s="31" t="s">
        <v>925</v>
      </c>
      <c r="C757" s="31">
        <v>6.6</v>
      </c>
      <c r="D757" s="43" t="s">
        <v>194</v>
      </c>
      <c r="E757" s="31" t="s">
        <v>743</v>
      </c>
      <c r="F757" s="43">
        <v>1.09E-2</v>
      </c>
      <c r="G757" s="43">
        <v>0.11799999999999999</v>
      </c>
      <c r="H757" s="43"/>
      <c r="I757" s="31" t="s">
        <v>164</v>
      </c>
      <c r="J757" s="35">
        <v>8.7100000000000003E-5</v>
      </c>
    </row>
    <row r="758" spans="1:10" x14ac:dyDescent="0.15">
      <c r="A758" s="31" t="s">
        <v>204</v>
      </c>
      <c r="B758" s="31" t="s">
        <v>925</v>
      </c>
      <c r="C758" s="31">
        <v>6.6</v>
      </c>
      <c r="D758" s="43" t="s">
        <v>195</v>
      </c>
      <c r="E758" s="31" t="s">
        <v>743</v>
      </c>
      <c r="F758" s="43">
        <v>5.4000000000000003E-3</v>
      </c>
      <c r="G758" s="43">
        <v>1.1666667E-2</v>
      </c>
      <c r="H758" s="43"/>
      <c r="I758" s="31" t="s">
        <v>164</v>
      </c>
      <c r="J758" s="19">
        <v>3.70307E-4</v>
      </c>
    </row>
    <row r="759" spans="1:10" x14ac:dyDescent="0.15">
      <c r="A759" s="31" t="s">
        <v>204</v>
      </c>
      <c r="B759" s="31" t="s">
        <v>925</v>
      </c>
      <c r="C759" s="31">
        <v>6.6</v>
      </c>
      <c r="D759" s="43" t="s">
        <v>196</v>
      </c>
      <c r="E759" s="31" t="s">
        <v>743</v>
      </c>
      <c r="F759" s="43">
        <v>7.7999999999999999E-4</v>
      </c>
      <c r="G759" s="43">
        <v>4.7E-2</v>
      </c>
      <c r="H759" s="43"/>
      <c r="I759" s="31" t="s">
        <v>164</v>
      </c>
      <c r="J759" s="35">
        <v>1.5099999999999999E-5</v>
      </c>
    </row>
    <row r="760" spans="1:10" x14ac:dyDescent="0.15">
      <c r="A760" s="31" t="s">
        <v>204</v>
      </c>
      <c r="B760" s="31" t="s">
        <v>925</v>
      </c>
      <c r="C760" s="31">
        <v>6.6</v>
      </c>
      <c r="D760" s="43" t="s">
        <v>197</v>
      </c>
      <c r="E760" s="31" t="s">
        <v>743</v>
      </c>
      <c r="F760" s="43">
        <v>3.3500000000000001E-3</v>
      </c>
      <c r="G760" s="43">
        <v>1.7600000000000001E-2</v>
      </c>
      <c r="H760" s="43"/>
      <c r="I760" s="31" t="s">
        <v>164</v>
      </c>
      <c r="J760" s="19">
        <v>1.62743E-4</v>
      </c>
    </row>
    <row r="761" spans="1:10" x14ac:dyDescent="0.15">
      <c r="A761" s="31" t="s">
        <v>204</v>
      </c>
      <c r="B761" s="31" t="s">
        <v>925</v>
      </c>
      <c r="C761" s="31">
        <v>6.6</v>
      </c>
      <c r="D761" s="43" t="s">
        <v>198</v>
      </c>
      <c r="E761" s="31" t="s">
        <v>743</v>
      </c>
      <c r="F761" s="43">
        <v>1.1199999999999999E-3</v>
      </c>
      <c r="G761" s="43">
        <v>1.0333333E-2</v>
      </c>
      <c r="H761" s="43"/>
      <c r="I761" s="31" t="s">
        <v>164</v>
      </c>
      <c r="J761" s="35">
        <v>7.3100000000000001E-5</v>
      </c>
    </row>
    <row r="762" spans="1:10" x14ac:dyDescent="0.15">
      <c r="A762" s="31" t="s">
        <v>204</v>
      </c>
      <c r="B762" s="31" t="s">
        <v>925</v>
      </c>
      <c r="C762" s="31">
        <v>6.6</v>
      </c>
      <c r="D762" s="43" t="s">
        <v>199</v>
      </c>
      <c r="E762" s="31" t="s">
        <v>743</v>
      </c>
      <c r="F762" s="43">
        <v>1.3825E-2</v>
      </c>
      <c r="G762" s="43">
        <v>2.1600000000000001E-2</v>
      </c>
      <c r="H762" s="43"/>
      <c r="I762" s="31" t="s">
        <v>164</v>
      </c>
      <c r="J762" s="19">
        <v>5.04482E-4</v>
      </c>
    </row>
    <row r="763" spans="1:10" x14ac:dyDescent="0.15">
      <c r="A763" s="31" t="s">
        <v>204</v>
      </c>
      <c r="B763" s="31" t="s">
        <v>925</v>
      </c>
      <c r="C763" s="31">
        <v>6.6</v>
      </c>
      <c r="D763" s="43" t="s">
        <v>200</v>
      </c>
      <c r="E763" s="31" t="s">
        <v>743</v>
      </c>
      <c r="F763" s="43">
        <v>3.3600000000000001E-3</v>
      </c>
      <c r="G763" s="43">
        <v>4.3666666999999999E-2</v>
      </c>
      <c r="H763" s="43"/>
      <c r="I763" s="31" t="s">
        <v>164</v>
      </c>
      <c r="J763" s="35">
        <v>7.1000000000000005E-5</v>
      </c>
    </row>
    <row r="764" spans="1:10" x14ac:dyDescent="0.15">
      <c r="A764" s="31" t="s">
        <v>204</v>
      </c>
      <c r="B764" s="31" t="s">
        <v>925</v>
      </c>
      <c r="C764" s="31">
        <v>6.6</v>
      </c>
      <c r="D764" s="43" t="s">
        <v>201</v>
      </c>
      <c r="E764" s="31" t="s">
        <v>743</v>
      </c>
      <c r="F764" s="43">
        <v>1.5900000000000001E-3</v>
      </c>
      <c r="G764" s="43">
        <v>1.0666666999999999E-2</v>
      </c>
      <c r="H764" s="43"/>
      <c r="I764" s="31" t="s">
        <v>164</v>
      </c>
      <c r="J764" s="19">
        <v>1.2639300000000001E-4</v>
      </c>
    </row>
    <row r="765" spans="1:10" x14ac:dyDescent="0.15">
      <c r="A765" s="25" t="s">
        <v>205</v>
      </c>
      <c r="B765" s="25" t="s">
        <v>925</v>
      </c>
      <c r="C765" s="25">
        <v>36</v>
      </c>
      <c r="D765" s="24" t="s">
        <v>165</v>
      </c>
      <c r="E765" s="25" t="s">
        <v>742</v>
      </c>
      <c r="F765" s="24">
        <v>0.21249999999999999</v>
      </c>
      <c r="G765" s="24">
        <v>0.2</v>
      </c>
      <c r="H765" s="24"/>
      <c r="I765" s="25" t="s">
        <v>164</v>
      </c>
      <c r="J765" s="19">
        <v>1.0023580000000001E-3</v>
      </c>
    </row>
    <row r="766" spans="1:10" x14ac:dyDescent="0.15">
      <c r="A766" s="25" t="s">
        <v>205</v>
      </c>
      <c r="B766" s="25" t="s">
        <v>925</v>
      </c>
      <c r="C766" s="25">
        <v>36</v>
      </c>
      <c r="D766" s="24" t="s">
        <v>166</v>
      </c>
      <c r="E766" s="25" t="s">
        <v>742</v>
      </c>
      <c r="F766" s="24">
        <v>5.4300000000000001E-2</v>
      </c>
      <c r="G766" s="24">
        <v>0.20399999999999999</v>
      </c>
      <c r="H766" s="24"/>
      <c r="I766" s="25" t="s">
        <v>164</v>
      </c>
      <c r="J766" s="19">
        <v>2.5111000000000003E-4</v>
      </c>
    </row>
    <row r="767" spans="1:10" x14ac:dyDescent="0.15">
      <c r="A767" s="25" t="s">
        <v>205</v>
      </c>
      <c r="B767" s="25" t="s">
        <v>925</v>
      </c>
      <c r="C767" s="25">
        <v>36</v>
      </c>
      <c r="D767" s="24" t="s">
        <v>167</v>
      </c>
      <c r="E767" s="25" t="s">
        <v>742</v>
      </c>
      <c r="F767" s="24">
        <v>8.3599999999999994E-2</v>
      </c>
      <c r="G767" s="24">
        <v>0.300666667</v>
      </c>
      <c r="H767" s="24"/>
      <c r="I767" s="25" t="s">
        <v>164</v>
      </c>
      <c r="J767" s="19">
        <v>2.6230999999999997E-4</v>
      </c>
    </row>
    <row r="768" spans="1:10" x14ac:dyDescent="0.15">
      <c r="A768" s="25" t="s">
        <v>205</v>
      </c>
      <c r="B768" s="25" t="s">
        <v>925</v>
      </c>
      <c r="C768" s="25">
        <v>36</v>
      </c>
      <c r="D768" s="24" t="s">
        <v>168</v>
      </c>
      <c r="E768" s="25" t="s">
        <v>742</v>
      </c>
      <c r="F768" s="24">
        <v>4.4900000000000002E-2</v>
      </c>
      <c r="G768" s="24">
        <v>9.1333333000000003E-2</v>
      </c>
      <c r="H768" s="24"/>
      <c r="I768" s="25" t="s">
        <v>164</v>
      </c>
      <c r="J768" s="19">
        <v>4.6377899999999999E-4</v>
      </c>
    </row>
    <row r="769" spans="1:10" x14ac:dyDescent="0.15">
      <c r="A769" s="25" t="s">
        <v>205</v>
      </c>
      <c r="B769" s="25" t="s">
        <v>925</v>
      </c>
      <c r="C769" s="25">
        <v>36</v>
      </c>
      <c r="D769" s="24" t="s">
        <v>169</v>
      </c>
      <c r="E769" s="25" t="s">
        <v>742</v>
      </c>
      <c r="F769" s="24">
        <v>0.10390000000000001</v>
      </c>
      <c r="G769" s="24">
        <v>0.200333333</v>
      </c>
      <c r="H769" s="24"/>
      <c r="I769" s="25" t="s">
        <v>164</v>
      </c>
      <c r="J769" s="19">
        <v>4.46978E-4</v>
      </c>
    </row>
    <row r="770" spans="1:10" x14ac:dyDescent="0.15">
      <c r="A770" s="25" t="s">
        <v>205</v>
      </c>
      <c r="B770" s="25" t="s">
        <v>925</v>
      </c>
      <c r="C770" s="25">
        <v>36</v>
      </c>
      <c r="D770" s="24" t="s">
        <v>170</v>
      </c>
      <c r="E770" s="25" t="s">
        <v>742</v>
      </c>
      <c r="F770" s="24">
        <v>0.10249999999999999</v>
      </c>
      <c r="G770" s="24">
        <v>0.21933333299999999</v>
      </c>
      <c r="H770" s="24"/>
      <c r="I770" s="25" t="s">
        <v>164</v>
      </c>
      <c r="J770" s="19">
        <v>4.0275700000000001E-4</v>
      </c>
    </row>
    <row r="771" spans="1:10" x14ac:dyDescent="0.15">
      <c r="A771" s="25" t="s">
        <v>205</v>
      </c>
      <c r="B771" s="25" t="s">
        <v>925</v>
      </c>
      <c r="C771" s="25">
        <v>36</v>
      </c>
      <c r="D771" s="24" t="s">
        <v>171</v>
      </c>
      <c r="E771" s="25" t="s">
        <v>742</v>
      </c>
      <c r="F771" s="24">
        <v>4.7500000000000001E-2</v>
      </c>
      <c r="G771" s="24">
        <v>0.17699999999999999</v>
      </c>
      <c r="H771" s="24"/>
      <c r="I771" s="25" t="s">
        <v>164</v>
      </c>
      <c r="J771" s="19">
        <v>2.5317100000000001E-4</v>
      </c>
    </row>
    <row r="772" spans="1:10" x14ac:dyDescent="0.15">
      <c r="A772" s="25" t="s">
        <v>205</v>
      </c>
      <c r="B772" s="25" t="s">
        <v>925</v>
      </c>
      <c r="C772" s="25">
        <v>36</v>
      </c>
      <c r="D772" s="24" t="s">
        <v>172</v>
      </c>
      <c r="E772" s="25" t="s">
        <v>742</v>
      </c>
      <c r="F772" s="24">
        <v>5.8599999999999999E-2</v>
      </c>
      <c r="G772" s="24">
        <v>0.17433333300000001</v>
      </c>
      <c r="H772" s="24"/>
      <c r="I772" s="25" t="s">
        <v>164</v>
      </c>
      <c r="J772" s="19">
        <v>2.96049E-4</v>
      </c>
    </row>
    <row r="773" spans="1:10" x14ac:dyDescent="0.15">
      <c r="A773" s="25" t="s">
        <v>205</v>
      </c>
      <c r="B773" s="25" t="s">
        <v>925</v>
      </c>
      <c r="C773" s="25">
        <v>36</v>
      </c>
      <c r="D773" s="24" t="s">
        <v>173</v>
      </c>
      <c r="E773" s="25" t="s">
        <v>742</v>
      </c>
      <c r="F773" s="24">
        <v>8.09E-2</v>
      </c>
      <c r="G773" s="24">
        <v>0.240666667</v>
      </c>
      <c r="H773" s="24"/>
      <c r="I773" s="25" t="s">
        <v>164</v>
      </c>
      <c r="J773" s="19">
        <v>3.1712199999999998E-4</v>
      </c>
    </row>
    <row r="774" spans="1:10" x14ac:dyDescent="0.15">
      <c r="A774" s="25" t="s">
        <v>205</v>
      </c>
      <c r="B774" s="25" t="s">
        <v>925</v>
      </c>
      <c r="C774" s="25">
        <v>36</v>
      </c>
      <c r="D774" s="24" t="s">
        <v>174</v>
      </c>
      <c r="E774" s="25" t="s">
        <v>742</v>
      </c>
      <c r="F774" s="24">
        <v>0.1734</v>
      </c>
      <c r="G774" s="24">
        <v>0.23366666699999999</v>
      </c>
      <c r="H774" s="24"/>
      <c r="I774" s="25" t="s">
        <v>164</v>
      </c>
      <c r="J774" s="19">
        <v>7.0007800000000003E-4</v>
      </c>
    </row>
    <row r="775" spans="1:10" x14ac:dyDescent="0.15">
      <c r="A775" s="25" t="s">
        <v>205</v>
      </c>
      <c r="B775" s="25" t="s">
        <v>925</v>
      </c>
      <c r="C775" s="25">
        <v>36</v>
      </c>
      <c r="D775" s="24" t="s">
        <v>175</v>
      </c>
      <c r="E775" s="25" t="s">
        <v>742</v>
      </c>
      <c r="F775" s="24">
        <v>4.7000000000000002E-3</v>
      </c>
      <c r="G775" s="24">
        <v>8.8333333E-2</v>
      </c>
      <c r="H775" s="24"/>
      <c r="I775" s="25" t="s">
        <v>164</v>
      </c>
      <c r="J775" s="35">
        <v>4.46E-5</v>
      </c>
    </row>
    <row r="776" spans="1:10" x14ac:dyDescent="0.15">
      <c r="A776" s="25" t="s">
        <v>205</v>
      </c>
      <c r="B776" s="25" t="s">
        <v>925</v>
      </c>
      <c r="C776" s="25">
        <v>36</v>
      </c>
      <c r="D776" s="24" t="s">
        <v>176</v>
      </c>
      <c r="E776" s="25" t="s">
        <v>742</v>
      </c>
      <c r="F776" s="24">
        <v>1.24E-2</v>
      </c>
      <c r="G776" s="24">
        <v>9.8333332999999995E-2</v>
      </c>
      <c r="H776" s="24"/>
      <c r="I776" s="25" t="s">
        <v>164</v>
      </c>
      <c r="J776" s="19">
        <v>1.1896399999999999E-4</v>
      </c>
    </row>
    <row r="777" spans="1:10" x14ac:dyDescent="0.15">
      <c r="A777" s="25" t="s">
        <v>205</v>
      </c>
      <c r="B777" s="25" t="s">
        <v>925</v>
      </c>
      <c r="C777" s="25">
        <v>36</v>
      </c>
      <c r="D777" s="24" t="s">
        <v>177</v>
      </c>
      <c r="E777" s="25" t="s">
        <v>742</v>
      </c>
      <c r="F777" s="24">
        <v>8.6699999999999999E-2</v>
      </c>
      <c r="G777" s="24">
        <v>0.115666667</v>
      </c>
      <c r="H777" s="24"/>
      <c r="I777" s="25" t="s">
        <v>164</v>
      </c>
      <c r="J777" s="19">
        <v>7.0713899999999997E-4</v>
      </c>
    </row>
    <row r="778" spans="1:10" x14ac:dyDescent="0.15">
      <c r="A778" s="25" t="s">
        <v>205</v>
      </c>
      <c r="B778" s="25" t="s">
        <v>925</v>
      </c>
      <c r="C778" s="25">
        <v>36</v>
      </c>
      <c r="D778" s="24" t="s">
        <v>178</v>
      </c>
      <c r="E778" s="25" t="s">
        <v>742</v>
      </c>
      <c r="F778" s="24">
        <v>1.6500000000000001E-2</v>
      </c>
      <c r="G778" s="24">
        <v>7.7666666999999995E-2</v>
      </c>
      <c r="H778" s="24"/>
      <c r="I778" s="25" t="s">
        <v>164</v>
      </c>
      <c r="J778" s="19">
        <v>2.00421E-4</v>
      </c>
    </row>
    <row r="779" spans="1:10" x14ac:dyDescent="0.15">
      <c r="A779" s="25" t="s">
        <v>205</v>
      </c>
      <c r="B779" s="25" t="s">
        <v>925</v>
      </c>
      <c r="C779" s="25">
        <v>36</v>
      </c>
      <c r="D779" s="24" t="s">
        <v>179</v>
      </c>
      <c r="E779" s="25" t="s">
        <v>742</v>
      </c>
      <c r="F779" s="24">
        <v>1.49E-2</v>
      </c>
      <c r="G779" s="24">
        <v>7.4999999999999997E-2</v>
      </c>
      <c r="H779" s="24"/>
      <c r="I779" s="25" t="s">
        <v>164</v>
      </c>
      <c r="J779" s="19">
        <v>1.80161E-4</v>
      </c>
    </row>
    <row r="780" spans="1:10" x14ac:dyDescent="0.15">
      <c r="A780" s="25" t="s">
        <v>205</v>
      </c>
      <c r="B780" s="25" t="s">
        <v>925</v>
      </c>
      <c r="C780" s="25">
        <v>36</v>
      </c>
      <c r="D780" s="24" t="s">
        <v>180</v>
      </c>
      <c r="E780" s="25" t="s">
        <v>742</v>
      </c>
      <c r="F780" s="24">
        <v>8.8999999999999999E-3</v>
      </c>
      <c r="G780" s="24">
        <v>3.3666666999999997E-2</v>
      </c>
      <c r="H780" s="24"/>
      <c r="I780" s="25" t="s">
        <v>164</v>
      </c>
      <c r="J780" s="19">
        <v>2.4939299999999999E-4</v>
      </c>
    </row>
    <row r="781" spans="1:10" x14ac:dyDescent="0.15">
      <c r="A781" s="25" t="s">
        <v>205</v>
      </c>
      <c r="B781" s="25" t="s">
        <v>925</v>
      </c>
      <c r="C781" s="25">
        <v>36</v>
      </c>
      <c r="D781" s="24" t="s">
        <v>181</v>
      </c>
      <c r="E781" s="25" t="s">
        <v>742</v>
      </c>
      <c r="F781" s="24">
        <v>6.3E-3</v>
      </c>
      <c r="G781" s="24">
        <v>3.5333333000000001E-2</v>
      </c>
      <c r="H781" s="24"/>
      <c r="I781" s="25" t="s">
        <v>164</v>
      </c>
      <c r="J781" s="19">
        <v>1.5703700000000001E-4</v>
      </c>
    </row>
    <row r="782" spans="1:10" x14ac:dyDescent="0.15">
      <c r="A782" s="25" t="s">
        <v>205</v>
      </c>
      <c r="B782" s="25" t="s">
        <v>925</v>
      </c>
      <c r="C782" s="25">
        <v>36</v>
      </c>
      <c r="D782" s="24" t="s">
        <v>182</v>
      </c>
      <c r="E782" s="25" t="s">
        <v>742</v>
      </c>
      <c r="F782" s="24">
        <v>2.1399999999999999E-2</v>
      </c>
      <c r="G782" s="24">
        <v>6.0999999999999999E-2</v>
      </c>
      <c r="H782" s="24"/>
      <c r="I782" s="25" t="s">
        <v>164</v>
      </c>
      <c r="J782" s="19">
        <v>3.3096200000000002E-4</v>
      </c>
    </row>
    <row r="783" spans="1:10" x14ac:dyDescent="0.15">
      <c r="A783" s="25" t="s">
        <v>205</v>
      </c>
      <c r="B783" s="25" t="s">
        <v>925</v>
      </c>
      <c r="C783" s="25">
        <v>36</v>
      </c>
      <c r="D783" s="24" t="s">
        <v>183</v>
      </c>
      <c r="E783" s="25" t="s">
        <v>742</v>
      </c>
      <c r="F783" s="24">
        <v>1.06E-2</v>
      </c>
      <c r="G783" s="24">
        <v>6.0333333000000003E-2</v>
      </c>
      <c r="H783" s="24"/>
      <c r="I783" s="25" t="s">
        <v>164</v>
      </c>
      <c r="J783" s="19">
        <v>1.6574600000000001E-4</v>
      </c>
    </row>
    <row r="784" spans="1:10" x14ac:dyDescent="0.15">
      <c r="A784" s="25" t="s">
        <v>205</v>
      </c>
      <c r="B784" s="25" t="s">
        <v>925</v>
      </c>
      <c r="C784" s="25">
        <v>36</v>
      </c>
      <c r="D784" s="24" t="s">
        <v>184</v>
      </c>
      <c r="E784" s="25" t="s">
        <v>742</v>
      </c>
      <c r="F784" s="24">
        <v>1.0200000000000001E-2</v>
      </c>
      <c r="G784" s="24">
        <v>5.5666667000000003E-2</v>
      </c>
      <c r="H784" s="24"/>
      <c r="I784" s="25" t="s">
        <v>164</v>
      </c>
      <c r="J784" s="19">
        <v>1.72862E-4</v>
      </c>
    </row>
    <row r="785" spans="1:10" x14ac:dyDescent="0.15">
      <c r="A785" s="25" t="s">
        <v>205</v>
      </c>
      <c r="B785" s="25" t="s">
        <v>925</v>
      </c>
      <c r="C785" s="25">
        <v>36</v>
      </c>
      <c r="D785" s="24" t="s">
        <v>185</v>
      </c>
      <c r="E785" s="25" t="s">
        <v>742</v>
      </c>
      <c r="F785" s="24">
        <v>3.1800000000000002E-2</v>
      </c>
      <c r="G785" s="24">
        <v>0.118666667</v>
      </c>
      <c r="H785" s="24"/>
      <c r="I785" s="25" t="s">
        <v>164</v>
      </c>
      <c r="J785" s="19">
        <v>2.52809E-4</v>
      </c>
    </row>
    <row r="786" spans="1:10" x14ac:dyDescent="0.15">
      <c r="A786" s="25" t="s">
        <v>205</v>
      </c>
      <c r="B786" s="25" t="s">
        <v>925</v>
      </c>
      <c r="C786" s="25">
        <v>36</v>
      </c>
      <c r="D786" s="24" t="s">
        <v>186</v>
      </c>
      <c r="E786" s="25" t="s">
        <v>742</v>
      </c>
      <c r="F786" s="24">
        <v>1.2999999999999999E-2</v>
      </c>
      <c r="G786" s="24">
        <v>0.109666667</v>
      </c>
      <c r="H786" s="24"/>
      <c r="I786" s="25" t="s">
        <v>164</v>
      </c>
      <c r="J786" s="19">
        <v>1.1183099999999999E-4</v>
      </c>
    </row>
    <row r="787" spans="1:10" x14ac:dyDescent="0.15">
      <c r="A787" s="25" t="s">
        <v>205</v>
      </c>
      <c r="B787" s="25" t="s">
        <v>925</v>
      </c>
      <c r="C787" s="25">
        <v>36</v>
      </c>
      <c r="D787" s="24" t="s">
        <v>211</v>
      </c>
      <c r="E787" s="25" t="s">
        <v>742</v>
      </c>
      <c r="F787" s="24">
        <v>2.7300000000000001E-2</v>
      </c>
      <c r="G787" s="24">
        <v>0.14933333300000001</v>
      </c>
      <c r="H787" s="24"/>
      <c r="I787" s="25" t="s">
        <v>164</v>
      </c>
      <c r="J787" s="19">
        <v>1.6206400000000001E-4</v>
      </c>
    </row>
    <row r="788" spans="1:10" x14ac:dyDescent="0.15">
      <c r="A788" s="25" t="s">
        <v>205</v>
      </c>
      <c r="B788" s="25" t="s">
        <v>925</v>
      </c>
      <c r="C788" s="25">
        <v>36</v>
      </c>
      <c r="D788" s="24" t="s">
        <v>187</v>
      </c>
      <c r="E788" s="25" t="s">
        <v>742</v>
      </c>
      <c r="F788" s="24">
        <v>4.8300000000000003E-2</v>
      </c>
      <c r="G788" s="24">
        <v>0.186</v>
      </c>
      <c r="H788" s="24"/>
      <c r="I788" s="25" t="s">
        <v>164</v>
      </c>
      <c r="J788" s="19">
        <v>2.4497899999999999E-4</v>
      </c>
    </row>
    <row r="789" spans="1:10" x14ac:dyDescent="0.15">
      <c r="A789" s="25" t="s">
        <v>205</v>
      </c>
      <c r="B789" s="25" t="s">
        <v>925</v>
      </c>
      <c r="C789" s="25">
        <v>36</v>
      </c>
      <c r="D789" s="24" t="s">
        <v>188</v>
      </c>
      <c r="E789" s="25" t="s">
        <v>742</v>
      </c>
      <c r="F789" s="24">
        <v>3.5200000000000002E-2</v>
      </c>
      <c r="G789" s="24">
        <v>0.182666667</v>
      </c>
      <c r="H789" s="24"/>
      <c r="I789" s="25" t="s">
        <v>164</v>
      </c>
      <c r="J789" s="19">
        <v>1.81793E-4</v>
      </c>
    </row>
    <row r="790" spans="1:10" x14ac:dyDescent="0.15">
      <c r="A790" s="25" t="s">
        <v>205</v>
      </c>
      <c r="B790" s="25" t="s">
        <v>925</v>
      </c>
      <c r="C790" s="25">
        <v>36</v>
      </c>
      <c r="D790" s="24" t="s">
        <v>189</v>
      </c>
      <c r="E790" s="25" t="s">
        <v>743</v>
      </c>
      <c r="F790" s="24">
        <v>9.0999999999999998E-2</v>
      </c>
      <c r="G790" s="24">
        <v>4.4999999999999998E-2</v>
      </c>
      <c r="H790" s="24"/>
      <c r="I790" s="25" t="s">
        <v>164</v>
      </c>
      <c r="J790" s="19">
        <v>1.593908E-3</v>
      </c>
    </row>
    <row r="791" spans="1:10" x14ac:dyDescent="0.15">
      <c r="A791" s="25" t="s">
        <v>205</v>
      </c>
      <c r="B791" s="25" t="s">
        <v>925</v>
      </c>
      <c r="C791" s="25">
        <v>36</v>
      </c>
      <c r="D791" s="24" t="s">
        <v>190</v>
      </c>
      <c r="E791" s="25" t="s">
        <v>743</v>
      </c>
      <c r="F791" s="24">
        <v>5.4699999999999999E-2</v>
      </c>
      <c r="G791" s="24">
        <v>0.04</v>
      </c>
      <c r="H791" s="24"/>
      <c r="I791" s="25" t="s">
        <v>164</v>
      </c>
      <c r="J791" s="19">
        <v>1.1528700000000001E-3</v>
      </c>
    </row>
    <row r="792" spans="1:10" x14ac:dyDescent="0.15">
      <c r="A792" s="25" t="s">
        <v>205</v>
      </c>
      <c r="B792" s="25" t="s">
        <v>925</v>
      </c>
      <c r="C792" s="25">
        <v>36</v>
      </c>
      <c r="D792" s="24" t="s">
        <v>191</v>
      </c>
      <c r="E792" s="25" t="s">
        <v>743</v>
      </c>
      <c r="F792" s="24">
        <v>2.8400000000000002E-2</v>
      </c>
      <c r="G792" s="24">
        <v>7.6999999999999999E-2</v>
      </c>
      <c r="H792" s="24"/>
      <c r="I792" s="25" t="s">
        <v>164</v>
      </c>
      <c r="J792" s="19">
        <v>3.35299E-4</v>
      </c>
    </row>
    <row r="793" spans="1:10" x14ac:dyDescent="0.15">
      <c r="A793" s="25" t="s">
        <v>205</v>
      </c>
      <c r="B793" s="25" t="s">
        <v>925</v>
      </c>
      <c r="C793" s="25">
        <v>36</v>
      </c>
      <c r="D793" s="24" t="s">
        <v>192</v>
      </c>
      <c r="E793" s="25" t="s">
        <v>743</v>
      </c>
      <c r="F793" s="24">
        <v>2.8299999999999999E-2</v>
      </c>
      <c r="G793" s="24">
        <v>7.6999999999999999E-2</v>
      </c>
      <c r="H793" s="24"/>
      <c r="I793" s="25" t="s">
        <v>164</v>
      </c>
      <c r="J793" s="19">
        <v>3.1994800000000002E-4</v>
      </c>
    </row>
    <row r="794" spans="1:10" x14ac:dyDescent="0.15">
      <c r="A794" s="25" t="s">
        <v>205</v>
      </c>
      <c r="B794" s="25" t="s">
        <v>925</v>
      </c>
      <c r="C794" s="25">
        <v>36</v>
      </c>
      <c r="D794" s="24" t="s">
        <v>193</v>
      </c>
      <c r="E794" s="25" t="s">
        <v>743</v>
      </c>
      <c r="F794" s="24">
        <v>8.6999999999999994E-3</v>
      </c>
      <c r="G794" s="24">
        <v>3.9333332999999998E-2</v>
      </c>
      <c r="H794" s="24"/>
      <c r="I794" s="25" t="s">
        <v>164</v>
      </c>
      <c r="J794" s="19">
        <v>1.9990000000000001E-4</v>
      </c>
    </row>
    <row r="795" spans="1:10" x14ac:dyDescent="0.15">
      <c r="A795" s="25" t="s">
        <v>205</v>
      </c>
      <c r="B795" s="25" t="s">
        <v>925</v>
      </c>
      <c r="C795" s="25">
        <v>36</v>
      </c>
      <c r="D795" s="24" t="s">
        <v>194</v>
      </c>
      <c r="E795" s="25" t="s">
        <v>743</v>
      </c>
      <c r="F795" s="24">
        <v>4.0099999999999997E-2</v>
      </c>
      <c r="G795" s="24">
        <v>0.18333333299999999</v>
      </c>
      <c r="H795" s="24"/>
      <c r="I795" s="25" t="s">
        <v>164</v>
      </c>
      <c r="J795" s="19">
        <v>2.0634599999999999E-4</v>
      </c>
    </row>
    <row r="796" spans="1:10" x14ac:dyDescent="0.15">
      <c r="A796" s="25" t="s">
        <v>205</v>
      </c>
      <c r="B796" s="25" t="s">
        <v>925</v>
      </c>
      <c r="C796" s="25">
        <v>36</v>
      </c>
      <c r="D796" s="24" t="s">
        <v>195</v>
      </c>
      <c r="E796" s="25" t="s">
        <v>743</v>
      </c>
      <c r="F796" s="24">
        <v>1.0699999999999999E-2</v>
      </c>
      <c r="G796" s="24">
        <v>8.1666666999999998E-2</v>
      </c>
      <c r="H796" s="24"/>
      <c r="I796" s="25" t="s">
        <v>164</v>
      </c>
      <c r="J796" s="19">
        <v>1.10457E-4</v>
      </c>
    </row>
    <row r="797" spans="1:10" x14ac:dyDescent="0.15">
      <c r="A797" s="25" t="s">
        <v>205</v>
      </c>
      <c r="B797" s="25" t="s">
        <v>925</v>
      </c>
      <c r="C797" s="25">
        <v>36</v>
      </c>
      <c r="D797" s="24" t="s">
        <v>196</v>
      </c>
      <c r="E797" s="25" t="s">
        <v>743</v>
      </c>
      <c r="F797" s="24">
        <v>2E-3</v>
      </c>
      <c r="G797" s="24">
        <v>3.2250000000000001E-2</v>
      </c>
      <c r="H797" s="24"/>
      <c r="I797" s="25" t="s">
        <v>164</v>
      </c>
      <c r="J797" s="35">
        <v>5.2500000000000002E-5</v>
      </c>
    </row>
    <row r="798" spans="1:10" x14ac:dyDescent="0.15">
      <c r="A798" s="25" t="s">
        <v>205</v>
      </c>
      <c r="B798" s="25" t="s">
        <v>925</v>
      </c>
      <c r="C798" s="25">
        <v>36</v>
      </c>
      <c r="D798" s="24" t="s">
        <v>197</v>
      </c>
      <c r="E798" s="25" t="s">
        <v>743</v>
      </c>
      <c r="F798" s="24">
        <v>6.3E-3</v>
      </c>
      <c r="G798" s="24">
        <v>1.0666666999999999E-2</v>
      </c>
      <c r="H798" s="24"/>
      <c r="I798" s="25" t="s">
        <v>164</v>
      </c>
      <c r="J798" s="19">
        <v>5.2359100000000001E-4</v>
      </c>
    </row>
    <row r="799" spans="1:10" x14ac:dyDescent="0.15">
      <c r="A799" s="25" t="s">
        <v>205</v>
      </c>
      <c r="B799" s="25" t="s">
        <v>925</v>
      </c>
      <c r="C799" s="25">
        <v>36</v>
      </c>
      <c r="D799" s="24" t="s">
        <v>198</v>
      </c>
      <c r="E799" s="25" t="s">
        <v>743</v>
      </c>
      <c r="F799" s="24">
        <v>5.7999999999999996E-3</v>
      </c>
      <c r="G799" s="24">
        <v>0.13</v>
      </c>
      <c r="H799" s="24"/>
      <c r="I799" s="25" t="s">
        <v>164</v>
      </c>
      <c r="J799" s="35">
        <v>4.21E-5</v>
      </c>
    </row>
    <row r="800" spans="1:10" x14ac:dyDescent="0.15">
      <c r="A800" s="25" t="s">
        <v>205</v>
      </c>
      <c r="B800" s="25" t="s">
        <v>925</v>
      </c>
      <c r="C800" s="25">
        <v>36</v>
      </c>
      <c r="D800" s="24" t="s">
        <v>199</v>
      </c>
      <c r="E800" s="25" t="s">
        <v>743</v>
      </c>
      <c r="F800" s="24">
        <v>3.7900000000000003E-2</v>
      </c>
      <c r="G800" s="24">
        <v>4.65E-2</v>
      </c>
      <c r="H800" s="24"/>
      <c r="I800" s="25" t="s">
        <v>164</v>
      </c>
      <c r="J800" s="19">
        <v>5.3171700000000002E-4</v>
      </c>
    </row>
    <row r="801" spans="1:12" x14ac:dyDescent="0.15">
      <c r="A801" s="25" t="s">
        <v>205</v>
      </c>
      <c r="B801" s="25" t="s">
        <v>925</v>
      </c>
      <c r="C801" s="25">
        <v>36</v>
      </c>
      <c r="D801" s="24" t="s">
        <v>200</v>
      </c>
      <c r="E801" s="25" t="s">
        <v>743</v>
      </c>
      <c r="F801" s="24">
        <v>1.12E-2</v>
      </c>
      <c r="G801" s="24">
        <v>0.02</v>
      </c>
      <c r="H801" s="24"/>
      <c r="I801" s="25" t="s">
        <v>164</v>
      </c>
      <c r="J801" s="19">
        <v>3.8427300000000003E-4</v>
      </c>
    </row>
    <row r="802" spans="1:12" x14ac:dyDescent="0.15">
      <c r="A802" s="25" t="s">
        <v>205</v>
      </c>
      <c r="B802" s="25" t="s">
        <v>925</v>
      </c>
      <c r="C802" s="25">
        <v>36</v>
      </c>
      <c r="D802" s="24" t="s">
        <v>201</v>
      </c>
      <c r="E802" s="25" t="s">
        <v>743</v>
      </c>
      <c r="F802" s="24">
        <v>9.9000000000000008E-3</v>
      </c>
      <c r="G802" s="24">
        <v>1.6666667E-2</v>
      </c>
      <c r="H802" s="24"/>
      <c r="I802" s="25" t="s">
        <v>164</v>
      </c>
      <c r="J802" s="19">
        <v>4.1861600000000002E-4</v>
      </c>
    </row>
    <row r="803" spans="1:12" x14ac:dyDescent="0.15">
      <c r="A803" s="25"/>
      <c r="B803" s="25"/>
      <c r="C803" s="25"/>
      <c r="D803" s="24">
        <f>F803/E803</f>
        <v>0.11677143964512179</v>
      </c>
      <c r="E803" s="25">
        <f>SUM(J765:J802)</f>
        <v>1.3547997999999999E-2</v>
      </c>
      <c r="F803" s="24">
        <f>SUM(F765:F802)/1040</f>
        <v>1.5820192307692306E-3</v>
      </c>
      <c r="G803" s="24"/>
      <c r="H803" s="24"/>
      <c r="I803" s="25"/>
    </row>
    <row r="804" spans="1:12" x14ac:dyDescent="0.15">
      <c r="A804" s="29" t="s">
        <v>206</v>
      </c>
      <c r="B804" s="29" t="s">
        <v>925</v>
      </c>
      <c r="C804" s="29">
        <v>44</v>
      </c>
      <c r="D804" s="30" t="s">
        <v>165</v>
      </c>
      <c r="E804" s="29" t="s">
        <v>742</v>
      </c>
      <c r="F804" s="30">
        <v>0.3322</v>
      </c>
      <c r="G804" s="30">
        <v>0.12425</v>
      </c>
      <c r="H804" s="30"/>
      <c r="I804" s="29" t="s">
        <v>164</v>
      </c>
      <c r="J804" s="19">
        <v>2.522304E-3</v>
      </c>
    </row>
    <row r="805" spans="1:12" x14ac:dyDescent="0.15">
      <c r="A805" s="29" t="s">
        <v>206</v>
      </c>
      <c r="B805" s="29" t="s">
        <v>925</v>
      </c>
      <c r="C805" s="29">
        <v>44</v>
      </c>
      <c r="D805" s="30" t="s">
        <v>166</v>
      </c>
      <c r="E805" s="29" t="s">
        <v>742</v>
      </c>
      <c r="F805" s="30">
        <v>5.5500000000000001E-2</v>
      </c>
      <c r="G805" s="30">
        <v>0.17</v>
      </c>
      <c r="H805" s="30"/>
      <c r="I805" s="29" t="s">
        <v>164</v>
      </c>
      <c r="J805" s="19">
        <v>3.0799100000000003E-4</v>
      </c>
    </row>
    <row r="806" spans="1:12" x14ac:dyDescent="0.15">
      <c r="A806" s="29" t="s">
        <v>206</v>
      </c>
      <c r="B806" s="29" t="s">
        <v>925</v>
      </c>
      <c r="C806" s="29">
        <v>44</v>
      </c>
      <c r="D806" s="30" t="s">
        <v>167</v>
      </c>
      <c r="E806" s="29" t="s">
        <v>742</v>
      </c>
      <c r="F806" s="30">
        <v>0.16309999999999999</v>
      </c>
      <c r="G806" s="30">
        <v>0.30259999999999998</v>
      </c>
      <c r="H806" s="30"/>
      <c r="I806" s="29" t="s">
        <v>164</v>
      </c>
      <c r="J806" s="19">
        <v>5.0848600000000005E-4</v>
      </c>
      <c r="L806" s="19">
        <f>SUM(J804:J839)</f>
        <v>3.762510799999999E-2</v>
      </c>
    </row>
    <row r="807" spans="1:12" x14ac:dyDescent="0.15">
      <c r="A807" s="29" t="s">
        <v>206</v>
      </c>
      <c r="B807" s="29" t="s">
        <v>925</v>
      </c>
      <c r="C807" s="29">
        <v>44</v>
      </c>
      <c r="D807" s="30" t="s">
        <v>168</v>
      </c>
      <c r="E807" s="29" t="s">
        <v>742</v>
      </c>
      <c r="F807" s="30">
        <v>7.0999999999999994E-2</v>
      </c>
      <c r="G807" s="30">
        <v>6.9500000000000006E-2</v>
      </c>
      <c r="H807" s="30"/>
      <c r="I807" s="29" t="s">
        <v>164</v>
      </c>
      <c r="J807" s="19">
        <v>9.6375699999999998E-4</v>
      </c>
    </row>
    <row r="808" spans="1:12" x14ac:dyDescent="0.15">
      <c r="A808" s="29" t="s">
        <v>206</v>
      </c>
      <c r="B808" s="29" t="s">
        <v>925</v>
      </c>
      <c r="C808" s="29">
        <v>44</v>
      </c>
      <c r="D808" s="30" t="s">
        <v>169</v>
      </c>
      <c r="E808" s="29" t="s">
        <v>742</v>
      </c>
      <c r="F808" s="30">
        <v>0.22420000000000001</v>
      </c>
      <c r="G808" s="30">
        <v>8.1600000000000006E-2</v>
      </c>
      <c r="H808" s="30"/>
      <c r="I808" s="29" t="s">
        <v>164</v>
      </c>
      <c r="J808" s="19">
        <v>2.3740279999999998E-3</v>
      </c>
    </row>
    <row r="809" spans="1:12" x14ac:dyDescent="0.15">
      <c r="A809" s="29" t="s">
        <v>206</v>
      </c>
      <c r="B809" s="29" t="s">
        <v>925</v>
      </c>
      <c r="C809" s="29">
        <v>44</v>
      </c>
      <c r="D809" s="30" t="s">
        <v>170</v>
      </c>
      <c r="E809" s="29" t="s">
        <v>742</v>
      </c>
      <c r="F809" s="30">
        <v>0.154</v>
      </c>
      <c r="G809" s="30">
        <v>0.05</v>
      </c>
      <c r="H809" s="30"/>
      <c r="I809" s="29" t="s">
        <v>164</v>
      </c>
      <c r="J809" s="19">
        <v>2.55112E-3</v>
      </c>
    </row>
    <row r="810" spans="1:12" x14ac:dyDescent="0.15">
      <c r="A810" s="29" t="s">
        <v>206</v>
      </c>
      <c r="B810" s="29" t="s">
        <v>925</v>
      </c>
      <c r="C810" s="29">
        <v>44</v>
      </c>
      <c r="D810" s="30" t="s">
        <v>171</v>
      </c>
      <c r="E810" s="29" t="s">
        <v>742</v>
      </c>
      <c r="F810" s="30">
        <v>9.5100000000000004E-2</v>
      </c>
      <c r="G810" s="30">
        <v>5.5399999999999998E-2</v>
      </c>
      <c r="H810" s="30"/>
      <c r="I810" s="29" t="s">
        <v>164</v>
      </c>
      <c r="J810" s="19">
        <v>1.429881E-3</v>
      </c>
    </row>
    <row r="811" spans="1:12" x14ac:dyDescent="0.15">
      <c r="A811" s="29" t="s">
        <v>206</v>
      </c>
      <c r="B811" s="29" t="s">
        <v>925</v>
      </c>
      <c r="C811" s="29">
        <v>44</v>
      </c>
      <c r="D811" s="30" t="s">
        <v>172</v>
      </c>
      <c r="E811" s="29" t="s">
        <v>742</v>
      </c>
      <c r="F811" s="30">
        <v>3.4000000000000002E-2</v>
      </c>
      <c r="G811" s="30">
        <v>4.6600000000000003E-2</v>
      </c>
      <c r="H811" s="30"/>
      <c r="I811" s="29" t="s">
        <v>164</v>
      </c>
      <c r="J811" s="19">
        <v>6.2550699999999997E-4</v>
      </c>
    </row>
    <row r="812" spans="1:12" x14ac:dyDescent="0.15">
      <c r="A812" s="29" t="s">
        <v>206</v>
      </c>
      <c r="B812" s="29" t="s">
        <v>925</v>
      </c>
      <c r="C812" s="29">
        <v>44</v>
      </c>
      <c r="D812" s="30" t="s">
        <v>173</v>
      </c>
      <c r="E812" s="29" t="s">
        <v>742</v>
      </c>
      <c r="F812" s="30">
        <v>0.19600000000000001</v>
      </c>
      <c r="G812" s="30">
        <v>0.1686</v>
      </c>
      <c r="H812" s="30"/>
      <c r="I812" s="29" t="s">
        <v>164</v>
      </c>
      <c r="J812" s="19">
        <v>1.0892969999999999E-3</v>
      </c>
    </row>
    <row r="813" spans="1:12" x14ac:dyDescent="0.15">
      <c r="A813" s="29" t="s">
        <v>206</v>
      </c>
      <c r="B813" s="29" t="s">
        <v>925</v>
      </c>
      <c r="C813" s="29">
        <v>44</v>
      </c>
      <c r="D813" s="30" t="s">
        <v>174</v>
      </c>
      <c r="E813" s="29" t="s">
        <v>742</v>
      </c>
      <c r="F813" s="30">
        <v>0.160326</v>
      </c>
      <c r="G813" s="30">
        <v>0.22239999999999999</v>
      </c>
      <c r="H813" s="30"/>
      <c r="I813" s="29" t="s">
        <v>164</v>
      </c>
      <c r="J813" s="19">
        <v>6.8008499999999998E-4</v>
      </c>
    </row>
    <row r="814" spans="1:12" x14ac:dyDescent="0.15">
      <c r="A814" s="29" t="s">
        <v>206</v>
      </c>
      <c r="B814" s="29" t="s">
        <v>925</v>
      </c>
      <c r="C814" s="29">
        <v>44</v>
      </c>
      <c r="D814" s="30" t="s">
        <v>175</v>
      </c>
      <c r="E814" s="29" t="s">
        <v>742</v>
      </c>
      <c r="F814" s="30">
        <v>9.1999999999999998E-2</v>
      </c>
      <c r="G814" s="30">
        <v>0.14460000000000001</v>
      </c>
      <c r="H814" s="30"/>
      <c r="I814" s="29" t="s">
        <v>164</v>
      </c>
      <c r="J814" s="19">
        <v>6.00224E-4</v>
      </c>
    </row>
    <row r="815" spans="1:12" x14ac:dyDescent="0.15">
      <c r="A815" s="29" t="s">
        <v>206</v>
      </c>
      <c r="B815" s="29" t="s">
        <v>925</v>
      </c>
      <c r="C815" s="29">
        <v>44</v>
      </c>
      <c r="D815" s="30" t="s">
        <v>176</v>
      </c>
      <c r="E815" s="29" t="s">
        <v>742</v>
      </c>
      <c r="F815" s="30">
        <v>3.1600000000000003E-2</v>
      </c>
      <c r="G815" s="30">
        <v>8.5000000000000006E-2</v>
      </c>
      <c r="H815" s="30"/>
      <c r="I815" s="29" t="s">
        <v>164</v>
      </c>
      <c r="J815" s="19">
        <v>3.5072100000000002E-4</v>
      </c>
    </row>
    <row r="816" spans="1:12" x14ac:dyDescent="0.15">
      <c r="A816" s="29" t="s">
        <v>206</v>
      </c>
      <c r="B816" s="29" t="s">
        <v>925</v>
      </c>
      <c r="C816" s="29">
        <v>44</v>
      </c>
      <c r="D816" s="30" t="s">
        <v>177</v>
      </c>
      <c r="E816" s="29" t="s">
        <v>742</v>
      </c>
      <c r="F816" s="30">
        <v>0.17949999999999999</v>
      </c>
      <c r="G816" s="30">
        <v>5.1999999999999998E-2</v>
      </c>
      <c r="H816" s="30"/>
      <c r="I816" s="29" t="s">
        <v>164</v>
      </c>
      <c r="J816" s="19">
        <v>3.0971449999999999E-3</v>
      </c>
    </row>
    <row r="817" spans="1:10" x14ac:dyDescent="0.15">
      <c r="A817" s="29" t="s">
        <v>206</v>
      </c>
      <c r="B817" s="29" t="s">
        <v>925</v>
      </c>
      <c r="C817" s="29">
        <v>44</v>
      </c>
      <c r="D817" s="30" t="s">
        <v>179</v>
      </c>
      <c r="E817" s="29" t="s">
        <v>742</v>
      </c>
      <c r="F817" s="30">
        <v>2.0500000000000001E-2</v>
      </c>
      <c r="G817" s="30">
        <v>2.5333333E-2</v>
      </c>
      <c r="H817" s="30"/>
      <c r="I817" s="29" t="s">
        <v>164</v>
      </c>
      <c r="J817" s="19">
        <v>6.9920099999999999E-4</v>
      </c>
    </row>
    <row r="818" spans="1:10" x14ac:dyDescent="0.15">
      <c r="A818" s="29" t="s">
        <v>206</v>
      </c>
      <c r="B818" s="29" t="s">
        <v>925</v>
      </c>
      <c r="C818" s="29">
        <v>44</v>
      </c>
      <c r="D818" s="30" t="s">
        <v>180</v>
      </c>
      <c r="E818" s="29" t="s">
        <v>742</v>
      </c>
      <c r="F818" s="30">
        <v>3.8199999999999998E-2</v>
      </c>
      <c r="G818" s="30">
        <v>3.175E-2</v>
      </c>
      <c r="H818" s="30"/>
      <c r="I818" s="29" t="s">
        <v>164</v>
      </c>
      <c r="J818" s="19">
        <v>1.1350469999999999E-3</v>
      </c>
    </row>
    <row r="819" spans="1:10" x14ac:dyDescent="0.15">
      <c r="A819" s="29" t="s">
        <v>206</v>
      </c>
      <c r="B819" s="29" t="s">
        <v>925</v>
      </c>
      <c r="C819" s="29">
        <v>44</v>
      </c>
      <c r="D819" s="30" t="s">
        <v>181</v>
      </c>
      <c r="E819" s="29" t="s">
        <v>742</v>
      </c>
      <c r="F819" s="30">
        <v>5.0699999999999999E-3</v>
      </c>
      <c r="G819" s="30">
        <v>6.7000000000000004E-2</v>
      </c>
      <c r="H819" s="30"/>
      <c r="I819" s="29" t="s">
        <v>164</v>
      </c>
      <c r="J819" s="35">
        <v>7.1400000000000001E-5</v>
      </c>
    </row>
    <row r="820" spans="1:10" x14ac:dyDescent="0.15">
      <c r="A820" s="29" t="s">
        <v>206</v>
      </c>
      <c r="B820" s="29" t="s">
        <v>925</v>
      </c>
      <c r="C820" s="29">
        <v>44</v>
      </c>
      <c r="D820" s="30" t="s">
        <v>182</v>
      </c>
      <c r="E820" s="29" t="s">
        <v>742</v>
      </c>
      <c r="F820" s="30">
        <v>2.4500000000000001E-2</v>
      </c>
      <c r="G820" s="30">
        <v>4.7750000000000001E-2</v>
      </c>
      <c r="H820" s="30"/>
      <c r="I820" s="29" t="s">
        <v>164</v>
      </c>
      <c r="J820" s="19">
        <v>4.8404600000000002E-4</v>
      </c>
    </row>
    <row r="821" spans="1:10" x14ac:dyDescent="0.15">
      <c r="A821" s="29" t="s">
        <v>206</v>
      </c>
      <c r="B821" s="29" t="s">
        <v>925</v>
      </c>
      <c r="C821" s="29">
        <v>44</v>
      </c>
      <c r="D821" s="30" t="s">
        <v>183</v>
      </c>
      <c r="E821" s="29" t="s">
        <v>742</v>
      </c>
      <c r="F821" s="30">
        <v>1.8599999999999998E-2</v>
      </c>
      <c r="G821" s="30">
        <v>0.08</v>
      </c>
      <c r="H821" s="30"/>
      <c r="I821" s="29" t="s">
        <v>164</v>
      </c>
      <c r="J821" s="19">
        <v>2.1934E-4</v>
      </c>
    </row>
    <row r="822" spans="1:10" x14ac:dyDescent="0.15">
      <c r="A822" s="29" t="s">
        <v>206</v>
      </c>
      <c r="B822" s="29" t="s">
        <v>925</v>
      </c>
      <c r="C822" s="29">
        <v>44</v>
      </c>
      <c r="D822" s="30" t="s">
        <v>184</v>
      </c>
      <c r="E822" s="29" t="s">
        <v>742</v>
      </c>
      <c r="F822" s="30">
        <v>3.2337999999999999E-2</v>
      </c>
      <c r="G822" s="30">
        <v>0.17150000000000001</v>
      </c>
      <c r="H822" s="30"/>
      <c r="I822" s="29" t="s">
        <v>164</v>
      </c>
      <c r="J822" s="19">
        <v>1.77887E-4</v>
      </c>
    </row>
    <row r="823" spans="1:10" x14ac:dyDescent="0.15">
      <c r="A823" s="29" t="s">
        <v>206</v>
      </c>
      <c r="B823" s="29" t="s">
        <v>925</v>
      </c>
      <c r="C823" s="29">
        <v>44</v>
      </c>
      <c r="D823" s="30" t="s">
        <v>185</v>
      </c>
      <c r="E823" s="29" t="s">
        <v>742</v>
      </c>
      <c r="F823" s="30">
        <v>0.29949999999999999</v>
      </c>
      <c r="G823" s="30">
        <v>42.934800000000003</v>
      </c>
      <c r="H823" s="30"/>
      <c r="I823" s="29" t="s">
        <v>164</v>
      </c>
      <c r="J823" s="35">
        <v>6.5799999999999997E-6</v>
      </c>
    </row>
    <row r="824" spans="1:10" x14ac:dyDescent="0.15">
      <c r="A824" s="29" t="s">
        <v>206</v>
      </c>
      <c r="B824" s="29" t="s">
        <v>925</v>
      </c>
      <c r="C824" s="29">
        <v>44</v>
      </c>
      <c r="D824" s="30" t="s">
        <v>186</v>
      </c>
      <c r="E824" s="29" t="s">
        <v>742</v>
      </c>
      <c r="F824" s="30">
        <v>3.3000000000000002E-2</v>
      </c>
      <c r="G824" s="30">
        <v>6.0600000000000001E-2</v>
      </c>
      <c r="H824" s="30"/>
      <c r="I824" s="29" t="s">
        <v>164</v>
      </c>
      <c r="J824" s="19">
        <v>5.1373100000000002E-4</v>
      </c>
    </row>
    <row r="825" spans="1:10" x14ac:dyDescent="0.15">
      <c r="A825" s="29" t="s">
        <v>206</v>
      </c>
      <c r="B825" s="29" t="s">
        <v>925</v>
      </c>
      <c r="C825" s="29">
        <v>44</v>
      </c>
      <c r="D825" s="30" t="s">
        <v>187</v>
      </c>
      <c r="E825" s="29" t="s">
        <v>742</v>
      </c>
      <c r="F825" s="30">
        <v>0.1215</v>
      </c>
      <c r="G825" s="30">
        <v>0.11169999999999999</v>
      </c>
      <c r="H825" s="30"/>
      <c r="I825" s="29" t="s">
        <v>164</v>
      </c>
      <c r="J825" s="19">
        <v>1.0105750000000001E-3</v>
      </c>
    </row>
    <row r="826" spans="1:10" x14ac:dyDescent="0.15">
      <c r="A826" s="29" t="s">
        <v>206</v>
      </c>
      <c r="B826" s="29" t="s">
        <v>925</v>
      </c>
      <c r="C826" s="29">
        <v>44</v>
      </c>
      <c r="D826" s="30" t="s">
        <v>188</v>
      </c>
      <c r="E826" s="29" t="s">
        <v>742</v>
      </c>
      <c r="F826" s="30">
        <v>3.8199999999999998E-2</v>
      </c>
      <c r="G826" s="30">
        <v>4.3200000000000002E-2</v>
      </c>
      <c r="H826" s="30"/>
      <c r="I826" s="29" t="s">
        <v>164</v>
      </c>
      <c r="J826" s="19">
        <v>7.2961399999999996E-4</v>
      </c>
    </row>
    <row r="827" spans="1:10" x14ac:dyDescent="0.15">
      <c r="A827" s="29" t="s">
        <v>206</v>
      </c>
      <c r="B827" s="29" t="s">
        <v>925</v>
      </c>
      <c r="C827" s="29">
        <v>44</v>
      </c>
      <c r="D827" s="30" t="s">
        <v>189</v>
      </c>
      <c r="E827" s="29" t="s">
        <v>743</v>
      </c>
      <c r="F827" s="30">
        <v>0.13400000000000001</v>
      </c>
      <c r="G827" s="30">
        <v>3.9600000000000003E-2</v>
      </c>
      <c r="H827" s="30"/>
      <c r="I827" s="29" t="s">
        <v>164</v>
      </c>
      <c r="J827" s="19">
        <v>2.372341E-3</v>
      </c>
    </row>
    <row r="828" spans="1:10" x14ac:dyDescent="0.15">
      <c r="A828" s="29" t="s">
        <v>206</v>
      </c>
      <c r="B828" s="29" t="s">
        <v>925</v>
      </c>
      <c r="C828" s="29">
        <v>44</v>
      </c>
      <c r="D828" s="30" t="s">
        <v>190</v>
      </c>
      <c r="E828" s="29" t="s">
        <v>743</v>
      </c>
      <c r="F828" s="30">
        <v>8.1000000000000003E-2</v>
      </c>
      <c r="G828" s="30">
        <v>3.9199999999999999E-2</v>
      </c>
      <c r="H828" s="30"/>
      <c r="I828" s="29" t="s">
        <v>164</v>
      </c>
      <c r="J828" s="19">
        <v>1.556832E-3</v>
      </c>
    </row>
    <row r="829" spans="1:10" x14ac:dyDescent="0.15">
      <c r="A829" s="29" t="s">
        <v>206</v>
      </c>
      <c r="B829" s="29" t="s">
        <v>925</v>
      </c>
      <c r="C829" s="29">
        <v>44</v>
      </c>
      <c r="D829" s="30" t="s">
        <v>191</v>
      </c>
      <c r="E829" s="29" t="s">
        <v>743</v>
      </c>
      <c r="F829" s="30">
        <v>4.0274999999999998E-2</v>
      </c>
      <c r="G829" s="30">
        <v>7.8666666999999996E-2</v>
      </c>
      <c r="H829" s="30"/>
      <c r="I829" s="29" t="s">
        <v>164</v>
      </c>
      <c r="J829" s="19">
        <v>4.7828999999999998E-4</v>
      </c>
    </row>
    <row r="830" spans="1:10" x14ac:dyDescent="0.15">
      <c r="A830" s="29" t="s">
        <v>206</v>
      </c>
      <c r="B830" s="29" t="s">
        <v>925</v>
      </c>
      <c r="C830" s="29">
        <v>44</v>
      </c>
      <c r="D830" s="30" t="s">
        <v>192</v>
      </c>
      <c r="E830" s="29" t="s">
        <v>743</v>
      </c>
      <c r="F830" s="30">
        <v>4.4137000000000003E-2</v>
      </c>
      <c r="G830" s="30">
        <v>6.3500000000000001E-2</v>
      </c>
      <c r="H830" s="30"/>
      <c r="I830" s="29" t="s">
        <v>164</v>
      </c>
      <c r="J830" s="19">
        <v>6.2220400000000001E-4</v>
      </c>
    </row>
    <row r="831" spans="1:10" x14ac:dyDescent="0.15">
      <c r="A831" s="29" t="s">
        <v>206</v>
      </c>
      <c r="B831" s="29" t="s">
        <v>925</v>
      </c>
      <c r="C831" s="29">
        <v>44</v>
      </c>
      <c r="D831" s="30" t="s">
        <v>193</v>
      </c>
      <c r="E831" s="29" t="s">
        <v>743</v>
      </c>
      <c r="F831" s="30">
        <v>3.8399999999999997E-2</v>
      </c>
      <c r="G831" s="30">
        <v>8.8999999999999996E-2</v>
      </c>
      <c r="H831" s="30"/>
      <c r="I831" s="29" t="s">
        <v>164</v>
      </c>
      <c r="J831" s="19">
        <v>4.0703799999999997E-4</v>
      </c>
    </row>
    <row r="832" spans="1:10" x14ac:dyDescent="0.15">
      <c r="A832" s="29" t="s">
        <v>206</v>
      </c>
      <c r="B832" s="29" t="s">
        <v>925</v>
      </c>
      <c r="C832" s="29">
        <v>44</v>
      </c>
      <c r="D832" s="30" t="s">
        <v>194</v>
      </c>
      <c r="E832" s="29" t="s">
        <v>743</v>
      </c>
      <c r="F832" s="30">
        <v>9.0399999999999994E-2</v>
      </c>
      <c r="G832" s="30">
        <v>0.06</v>
      </c>
      <c r="H832" s="30"/>
      <c r="I832" s="29" t="s">
        <v>164</v>
      </c>
      <c r="J832" s="19">
        <v>1.343945E-3</v>
      </c>
    </row>
    <row r="833" spans="1:10" x14ac:dyDescent="0.15">
      <c r="A833" s="29" t="s">
        <v>206</v>
      </c>
      <c r="B833" s="29" t="s">
        <v>925</v>
      </c>
      <c r="C833" s="29">
        <v>44</v>
      </c>
      <c r="D833" s="30" t="s">
        <v>195</v>
      </c>
      <c r="E833" s="29" t="s">
        <v>743</v>
      </c>
      <c r="F833" s="30">
        <v>1.4659999999999999E-2</v>
      </c>
      <c r="G833" s="30">
        <v>4.8599999999999997E-2</v>
      </c>
      <c r="H833" s="30"/>
      <c r="I833" s="29" t="s">
        <v>164</v>
      </c>
      <c r="J833" s="19">
        <v>2.8457200000000003E-4</v>
      </c>
    </row>
    <row r="834" spans="1:10" x14ac:dyDescent="0.15">
      <c r="A834" s="29" t="s">
        <v>206</v>
      </c>
      <c r="B834" s="29" t="s">
        <v>925</v>
      </c>
      <c r="C834" s="29">
        <v>44</v>
      </c>
      <c r="D834" s="30" t="s">
        <v>196</v>
      </c>
      <c r="E834" s="29" t="s">
        <v>743</v>
      </c>
      <c r="F834" s="30">
        <v>1.7387E-2</v>
      </c>
      <c r="G834" s="30">
        <v>2.5399999999999999E-2</v>
      </c>
      <c r="H834" s="30"/>
      <c r="I834" s="29" t="s">
        <v>164</v>
      </c>
      <c r="J834" s="19">
        <v>7.9382699999999999E-4</v>
      </c>
    </row>
    <row r="835" spans="1:10" x14ac:dyDescent="0.15">
      <c r="A835" s="29" t="s">
        <v>206</v>
      </c>
      <c r="B835" s="29" t="s">
        <v>925</v>
      </c>
      <c r="C835" s="29">
        <v>44</v>
      </c>
      <c r="D835" s="30" t="s">
        <v>197</v>
      </c>
      <c r="E835" s="29" t="s">
        <v>743</v>
      </c>
      <c r="F835" s="30">
        <v>0.14899999999999999</v>
      </c>
      <c r="G835" s="30">
        <v>2.46E-2</v>
      </c>
      <c r="H835" s="30"/>
      <c r="I835" s="29" t="s">
        <v>164</v>
      </c>
      <c r="J835" s="19">
        <v>4.6422379999999999E-3</v>
      </c>
    </row>
    <row r="836" spans="1:10" x14ac:dyDescent="0.15">
      <c r="A836" s="29" t="s">
        <v>206</v>
      </c>
      <c r="B836" s="29" t="s">
        <v>925</v>
      </c>
      <c r="C836" s="29">
        <v>44</v>
      </c>
      <c r="D836" s="30" t="s">
        <v>198</v>
      </c>
      <c r="E836" s="29" t="s">
        <v>743</v>
      </c>
      <c r="F836" s="30">
        <v>1.4142E-2</v>
      </c>
      <c r="G836" s="30">
        <v>1.4250000000000001E-2</v>
      </c>
      <c r="H836" s="30"/>
      <c r="I836" s="29" t="s">
        <v>164</v>
      </c>
      <c r="J836" s="19">
        <v>6.79129E-4</v>
      </c>
    </row>
    <row r="837" spans="1:10" x14ac:dyDescent="0.15">
      <c r="A837" s="29" t="s">
        <v>206</v>
      </c>
      <c r="B837" s="29" t="s">
        <v>925</v>
      </c>
      <c r="C837" s="29">
        <v>44</v>
      </c>
      <c r="D837" s="30" t="s">
        <v>199</v>
      </c>
      <c r="E837" s="29" t="s">
        <v>743</v>
      </c>
      <c r="F837" s="30">
        <v>5.8400000000000001E-2</v>
      </c>
      <c r="G837" s="30">
        <v>3.1199999999999999E-2</v>
      </c>
      <c r="H837" s="30"/>
      <c r="I837" s="29" t="s">
        <v>164</v>
      </c>
      <c r="J837" s="19">
        <v>1.2844289999999999E-3</v>
      </c>
    </row>
    <row r="838" spans="1:10" x14ac:dyDescent="0.15">
      <c r="A838" s="29" t="s">
        <v>206</v>
      </c>
      <c r="B838" s="29" t="s">
        <v>925</v>
      </c>
      <c r="C838" s="29">
        <v>44</v>
      </c>
      <c r="D838" s="30" t="s">
        <v>200</v>
      </c>
      <c r="E838" s="29" t="s">
        <v>743</v>
      </c>
      <c r="F838" s="30">
        <v>3.64E-3</v>
      </c>
      <c r="G838" s="30">
        <v>1.78E-2</v>
      </c>
      <c r="H838" s="30"/>
      <c r="I838" s="29" t="s">
        <v>164</v>
      </c>
      <c r="J838" s="19">
        <v>1.54745E-4</v>
      </c>
    </row>
    <row r="839" spans="1:10" x14ac:dyDescent="0.15">
      <c r="A839" s="29" t="s">
        <v>206</v>
      </c>
      <c r="B839" s="29" t="s">
        <v>925</v>
      </c>
      <c r="C839" s="29">
        <v>44</v>
      </c>
      <c r="D839" s="30" t="s">
        <v>201</v>
      </c>
      <c r="E839" s="29" t="s">
        <v>743</v>
      </c>
      <c r="F839" s="30">
        <v>1.4387E-2</v>
      </c>
      <c r="G839" s="30">
        <v>1.464E-2</v>
      </c>
      <c r="H839" s="30"/>
      <c r="I839" s="29" t="s">
        <v>164</v>
      </c>
      <c r="J839" s="19">
        <v>8.5755100000000002E-4</v>
      </c>
    </row>
    <row r="840" spans="1:10" x14ac:dyDescent="0.15">
      <c r="A840" s="29"/>
      <c r="B840" s="29"/>
      <c r="C840" s="29"/>
      <c r="D840" s="30">
        <f>F840/E840</f>
        <v>7.9727908125769478E-2</v>
      </c>
      <c r="E840" s="29">
        <f>SUM(J804:J839)</f>
        <v>3.762510799999999E-2</v>
      </c>
      <c r="F840" s="30">
        <f>(SUM(F804:F839)/1040)</f>
        <v>2.9997711538461533E-3</v>
      </c>
      <c r="G840" s="30"/>
      <c r="H840" s="30"/>
      <c r="I840" s="29"/>
    </row>
    <row r="841" spans="1:10" x14ac:dyDescent="0.15">
      <c r="A841" s="34" t="s">
        <v>207</v>
      </c>
      <c r="B841" s="34" t="s">
        <v>925</v>
      </c>
      <c r="C841" s="34">
        <v>86</v>
      </c>
      <c r="D841" s="33" t="s">
        <v>165</v>
      </c>
      <c r="E841" s="34" t="s">
        <v>742</v>
      </c>
      <c r="F841" s="33">
        <v>0.70750000000000002</v>
      </c>
      <c r="G841" s="33">
        <v>0.2394</v>
      </c>
      <c r="H841" s="33"/>
      <c r="I841" s="34" t="s">
        <v>164</v>
      </c>
      <c r="J841" s="19">
        <v>2.5969869999999998E-3</v>
      </c>
    </row>
    <row r="842" spans="1:10" x14ac:dyDescent="0.15">
      <c r="A842" s="34" t="s">
        <v>207</v>
      </c>
      <c r="B842" s="34" t="s">
        <v>925</v>
      </c>
      <c r="C842" s="34">
        <v>86</v>
      </c>
      <c r="D842" s="33" t="s">
        <v>166</v>
      </c>
      <c r="E842" s="34" t="s">
        <v>742</v>
      </c>
      <c r="F842" s="33">
        <v>0.14330000000000001</v>
      </c>
      <c r="G842" s="33">
        <v>0.27539999999999998</v>
      </c>
      <c r="H842" s="33"/>
      <c r="I842" s="34" t="s">
        <v>164</v>
      </c>
      <c r="J842" s="19">
        <v>4.9088099999999998E-4</v>
      </c>
    </row>
    <row r="843" spans="1:10" x14ac:dyDescent="0.15">
      <c r="A843" s="34" t="s">
        <v>207</v>
      </c>
      <c r="B843" s="34" t="s">
        <v>925</v>
      </c>
      <c r="C843" s="34">
        <v>86</v>
      </c>
      <c r="D843" s="33" t="s">
        <v>167</v>
      </c>
      <c r="E843" s="34" t="s">
        <v>742</v>
      </c>
      <c r="F843" s="33">
        <v>0.30830000000000002</v>
      </c>
      <c r="G843" s="33">
        <v>0.40500000000000003</v>
      </c>
      <c r="H843" s="33"/>
      <c r="I843" s="34" t="s">
        <v>164</v>
      </c>
      <c r="J843" s="19">
        <v>7.1814600000000002E-4</v>
      </c>
    </row>
    <row r="844" spans="1:10" x14ac:dyDescent="0.15">
      <c r="A844" s="34" t="s">
        <v>207</v>
      </c>
      <c r="B844" s="34" t="s">
        <v>925</v>
      </c>
      <c r="C844" s="34">
        <v>86</v>
      </c>
      <c r="D844" s="33" t="s">
        <v>168</v>
      </c>
      <c r="E844" s="34" t="s">
        <v>742</v>
      </c>
      <c r="F844" s="33">
        <v>0.26150000000000001</v>
      </c>
      <c r="G844" s="33">
        <v>9.7666666999999999E-2</v>
      </c>
      <c r="H844" s="33"/>
      <c r="I844" s="34" t="s">
        <v>164</v>
      </c>
      <c r="J844" s="19">
        <v>2.5259190000000002E-3</v>
      </c>
    </row>
    <row r="845" spans="1:10" x14ac:dyDescent="0.15">
      <c r="A845" s="34" t="s">
        <v>207</v>
      </c>
      <c r="B845" s="34" t="s">
        <v>925</v>
      </c>
      <c r="C845" s="34">
        <v>86</v>
      </c>
      <c r="D845" s="33" t="s">
        <v>169</v>
      </c>
      <c r="E845" s="34" t="s">
        <v>742</v>
      </c>
      <c r="F845" s="33">
        <v>0.49659999999999999</v>
      </c>
      <c r="G845" s="33">
        <v>0.11840000000000001</v>
      </c>
      <c r="H845" s="33"/>
      <c r="I845" s="34" t="s">
        <v>164</v>
      </c>
      <c r="J845" s="19">
        <v>3.8290759999999998E-3</v>
      </c>
    </row>
    <row r="846" spans="1:10" x14ac:dyDescent="0.15">
      <c r="A846" s="34" t="s">
        <v>207</v>
      </c>
      <c r="B846" s="34" t="s">
        <v>925</v>
      </c>
      <c r="C846" s="34">
        <v>86</v>
      </c>
      <c r="D846" s="33" t="s">
        <v>170</v>
      </c>
      <c r="E846" s="34" t="s">
        <v>742</v>
      </c>
      <c r="F846" s="33">
        <v>0.32690000000000002</v>
      </c>
      <c r="G846" s="33">
        <v>7.3333333000000001E-2</v>
      </c>
      <c r="H846" s="33"/>
      <c r="I846" s="34" t="s">
        <v>164</v>
      </c>
      <c r="J846" s="19">
        <v>3.8216650000000001E-3</v>
      </c>
    </row>
    <row r="847" spans="1:10" x14ac:dyDescent="0.15">
      <c r="A847" s="34" t="s">
        <v>207</v>
      </c>
      <c r="B847" s="34" t="s">
        <v>925</v>
      </c>
      <c r="C847" s="34">
        <v>86</v>
      </c>
      <c r="D847" s="33" t="s">
        <v>171</v>
      </c>
      <c r="E847" s="34" t="s">
        <v>742</v>
      </c>
      <c r="F847" s="33">
        <v>0.21310000000000001</v>
      </c>
      <c r="G847" s="33">
        <v>0.1012</v>
      </c>
      <c r="H847" s="33"/>
      <c r="I847" s="34" t="s">
        <v>164</v>
      </c>
      <c r="J847" s="19">
        <v>1.918849E-3</v>
      </c>
    </row>
    <row r="848" spans="1:10" x14ac:dyDescent="0.15">
      <c r="A848" s="34" t="s">
        <v>207</v>
      </c>
      <c r="B848" s="34" t="s">
        <v>925</v>
      </c>
      <c r="C848" s="34">
        <v>86</v>
      </c>
      <c r="D848" s="33" t="s">
        <v>172</v>
      </c>
      <c r="E848" s="34" t="s">
        <v>742</v>
      </c>
      <c r="F848" s="33">
        <v>7.2700000000000001E-2</v>
      </c>
      <c r="G848" s="33">
        <v>6.5000000000000002E-2</v>
      </c>
      <c r="H848" s="33"/>
      <c r="I848" s="34" t="s">
        <v>164</v>
      </c>
      <c r="J848" s="19">
        <v>9.9151899999999995E-4</v>
      </c>
    </row>
    <row r="849" spans="1:10" x14ac:dyDescent="0.15">
      <c r="A849" s="34" t="s">
        <v>207</v>
      </c>
      <c r="B849" s="34" t="s">
        <v>925</v>
      </c>
      <c r="C849" s="34">
        <v>86</v>
      </c>
      <c r="D849" s="33" t="s">
        <v>173</v>
      </c>
      <c r="E849" s="34" t="s">
        <v>742</v>
      </c>
      <c r="F849" s="33">
        <v>0.24199999999999999</v>
      </c>
      <c r="G849" s="33">
        <v>0.34</v>
      </c>
      <c r="H849" s="33"/>
      <c r="I849" s="34" t="s">
        <v>164</v>
      </c>
      <c r="J849" s="19">
        <v>6.7147599999999995E-4</v>
      </c>
    </row>
    <row r="850" spans="1:10" x14ac:dyDescent="0.15">
      <c r="A850" s="34" t="s">
        <v>207</v>
      </c>
      <c r="B850" s="34" t="s">
        <v>925</v>
      </c>
      <c r="C850" s="34">
        <v>86</v>
      </c>
      <c r="D850" s="33" t="s">
        <v>174</v>
      </c>
      <c r="E850" s="34" t="s">
        <v>742</v>
      </c>
      <c r="F850" s="33">
        <v>0.6825</v>
      </c>
      <c r="G850" s="33">
        <v>0.37166666700000001</v>
      </c>
      <c r="H850" s="33"/>
      <c r="I850" s="34" t="s">
        <v>164</v>
      </c>
      <c r="J850" s="19">
        <v>1.7323799999999999E-3</v>
      </c>
    </row>
    <row r="851" spans="1:10" x14ac:dyDescent="0.15">
      <c r="A851" s="34" t="s">
        <v>207</v>
      </c>
      <c r="B851" s="34" t="s">
        <v>925</v>
      </c>
      <c r="C851" s="34">
        <v>86</v>
      </c>
      <c r="D851" s="33" t="s">
        <v>175</v>
      </c>
      <c r="E851" s="34" t="s">
        <v>742</v>
      </c>
      <c r="F851" s="33">
        <v>0.25840000000000002</v>
      </c>
      <c r="G851" s="33">
        <v>27</v>
      </c>
      <c r="H851" s="33"/>
      <c r="I851" s="34" t="s">
        <v>164</v>
      </c>
      <c r="J851" s="35">
        <v>9.0299999999999999E-6</v>
      </c>
    </row>
    <row r="852" spans="1:10" x14ac:dyDescent="0.15">
      <c r="A852" s="34" t="s">
        <v>207</v>
      </c>
      <c r="B852" s="34" t="s">
        <v>925</v>
      </c>
      <c r="C852" s="34">
        <v>86</v>
      </c>
      <c r="D852" s="33" t="s">
        <v>176</v>
      </c>
      <c r="E852" s="34" t="s">
        <v>742</v>
      </c>
      <c r="F852" s="33">
        <v>4.65E-2</v>
      </c>
      <c r="G852" s="33">
        <v>9.8750000000000004E-2</v>
      </c>
      <c r="H852" s="33"/>
      <c r="I852" s="34" t="s">
        <v>164</v>
      </c>
      <c r="J852" s="19">
        <v>4.4423200000000003E-4</v>
      </c>
    </row>
    <row r="853" spans="1:10" x14ac:dyDescent="0.15">
      <c r="A853" s="34" t="s">
        <v>207</v>
      </c>
      <c r="B853" s="34" t="s">
        <v>925</v>
      </c>
      <c r="C853" s="34">
        <v>86</v>
      </c>
      <c r="D853" s="33" t="s">
        <v>177</v>
      </c>
      <c r="E853" s="34" t="s">
        <v>742</v>
      </c>
      <c r="F853" s="33">
        <v>0.35099999999999998</v>
      </c>
      <c r="G853" s="33">
        <v>8.8599999999999998E-2</v>
      </c>
      <c r="H853" s="33"/>
      <c r="I853" s="34" t="s">
        <v>164</v>
      </c>
      <c r="J853" s="19">
        <v>3.339847E-3</v>
      </c>
    </row>
    <row r="854" spans="1:10" x14ac:dyDescent="0.15">
      <c r="A854" s="34" t="s">
        <v>207</v>
      </c>
      <c r="B854" s="34" t="s">
        <v>925</v>
      </c>
      <c r="C854" s="34">
        <v>86</v>
      </c>
      <c r="D854" s="33" t="s">
        <v>178</v>
      </c>
      <c r="E854" s="34" t="s">
        <v>742</v>
      </c>
      <c r="F854" s="33">
        <v>5.16E-2</v>
      </c>
      <c r="G854" s="33">
        <v>8.2199999999999995E-2</v>
      </c>
      <c r="H854" s="33"/>
      <c r="I854" s="34" t="s">
        <v>164</v>
      </c>
      <c r="J854" s="19">
        <v>5.9220500000000005E-4</v>
      </c>
    </row>
    <row r="855" spans="1:10" x14ac:dyDescent="0.15">
      <c r="A855" s="34" t="s">
        <v>207</v>
      </c>
      <c r="B855" s="34" t="s">
        <v>925</v>
      </c>
      <c r="C855" s="34">
        <v>86</v>
      </c>
      <c r="D855" s="33" t="s">
        <v>179</v>
      </c>
      <c r="E855" s="34" t="s">
        <v>742</v>
      </c>
      <c r="F855" s="33">
        <v>4.65E-2</v>
      </c>
      <c r="G855" s="33">
        <v>5.2999999999999999E-2</v>
      </c>
      <c r="H855" s="33"/>
      <c r="I855" s="34" t="s">
        <v>164</v>
      </c>
      <c r="J855" s="19">
        <v>6.7800900000000003E-4</v>
      </c>
    </row>
    <row r="856" spans="1:10" x14ac:dyDescent="0.15">
      <c r="A856" s="34" t="s">
        <v>207</v>
      </c>
      <c r="B856" s="34" t="s">
        <v>925</v>
      </c>
      <c r="C856" s="34">
        <v>86</v>
      </c>
      <c r="D856" s="33" t="s">
        <v>180</v>
      </c>
      <c r="E856" s="34" t="s">
        <v>742</v>
      </c>
      <c r="F856" s="33">
        <v>4.8300000000000003E-2</v>
      </c>
      <c r="G856" s="33">
        <v>7.4999999999999997E-2</v>
      </c>
      <c r="H856" s="33"/>
      <c r="I856" s="34" t="s">
        <v>164</v>
      </c>
      <c r="J856" s="19">
        <v>5.2615099999999998E-4</v>
      </c>
    </row>
    <row r="857" spans="1:10" x14ac:dyDescent="0.15">
      <c r="A857" s="34" t="s">
        <v>207</v>
      </c>
      <c r="B857" s="34" t="s">
        <v>925</v>
      </c>
      <c r="C857" s="34">
        <v>86</v>
      </c>
      <c r="D857" s="33" t="s">
        <v>181</v>
      </c>
      <c r="E857" s="34" t="s">
        <v>742</v>
      </c>
      <c r="F857" s="33">
        <v>2.12E-2</v>
      </c>
      <c r="G857" s="33">
        <v>6.8000000000000005E-2</v>
      </c>
      <c r="H857" s="33"/>
      <c r="I857" s="34" t="s">
        <v>164</v>
      </c>
      <c r="J857" s="19">
        <v>2.9411800000000001E-4</v>
      </c>
    </row>
    <row r="858" spans="1:10" x14ac:dyDescent="0.15">
      <c r="A858" s="34" t="s">
        <v>207</v>
      </c>
      <c r="B858" s="34" t="s">
        <v>925</v>
      </c>
      <c r="C858" s="34">
        <v>86</v>
      </c>
      <c r="D858" s="33" t="s">
        <v>182</v>
      </c>
      <c r="E858" s="34" t="s">
        <v>742</v>
      </c>
      <c r="F858" s="33">
        <v>6.2799999999999995E-2</v>
      </c>
      <c r="G858" s="33">
        <v>8.5000000000000006E-2</v>
      </c>
      <c r="H858" s="33"/>
      <c r="I858" s="34" t="s">
        <v>164</v>
      </c>
      <c r="J858" s="19">
        <v>6.9700299999999997E-4</v>
      </c>
    </row>
    <row r="859" spans="1:10" x14ac:dyDescent="0.15">
      <c r="A859" s="34" t="s">
        <v>207</v>
      </c>
      <c r="B859" s="34" t="s">
        <v>925</v>
      </c>
      <c r="C859" s="34">
        <v>86</v>
      </c>
      <c r="D859" s="33" t="s">
        <v>183</v>
      </c>
      <c r="E859" s="34" t="s">
        <v>742</v>
      </c>
      <c r="F859" s="33">
        <v>8.43E-2</v>
      </c>
      <c r="G859" s="33">
        <v>0.04</v>
      </c>
      <c r="H859" s="33"/>
      <c r="I859" s="34" t="s">
        <v>164</v>
      </c>
      <c r="J859" s="19">
        <v>1.879887E-3</v>
      </c>
    </row>
    <row r="860" spans="1:10" x14ac:dyDescent="0.15">
      <c r="A860" s="34" t="s">
        <v>207</v>
      </c>
      <c r="B860" s="34" t="s">
        <v>925</v>
      </c>
      <c r="C860" s="34">
        <v>86</v>
      </c>
      <c r="D860" s="33" t="s">
        <v>184</v>
      </c>
      <c r="E860" s="34" t="s">
        <v>742</v>
      </c>
      <c r="F860" s="33">
        <v>5.1799999999999999E-2</v>
      </c>
      <c r="G860" s="33">
        <v>7.6666666999999994E-2</v>
      </c>
      <c r="H860" s="33"/>
      <c r="I860" s="34" t="s">
        <v>164</v>
      </c>
      <c r="J860" s="19">
        <v>5.9896700000000005E-4</v>
      </c>
    </row>
    <row r="861" spans="1:10" x14ac:dyDescent="0.15">
      <c r="A861" s="34" t="s">
        <v>207</v>
      </c>
      <c r="B861" s="34" t="s">
        <v>925</v>
      </c>
      <c r="C861" s="34">
        <v>86</v>
      </c>
      <c r="D861" s="33" t="s">
        <v>185</v>
      </c>
      <c r="E861" s="34" t="s">
        <v>742</v>
      </c>
      <c r="F861" s="33">
        <v>0.50170000000000003</v>
      </c>
      <c r="G861" s="33">
        <v>0.2888</v>
      </c>
      <c r="H861" s="33"/>
      <c r="I861" s="34" t="s">
        <v>164</v>
      </c>
      <c r="J861" s="19">
        <v>1.6388570000000001E-3</v>
      </c>
    </row>
    <row r="862" spans="1:10" x14ac:dyDescent="0.15">
      <c r="A862" s="34" t="s">
        <v>207</v>
      </c>
      <c r="B862" s="34" t="s">
        <v>925</v>
      </c>
      <c r="C862" s="34">
        <v>86</v>
      </c>
      <c r="D862" s="33" t="s">
        <v>186</v>
      </c>
      <c r="E862" s="34" t="s">
        <v>742</v>
      </c>
      <c r="F862" s="33">
        <v>0.1782</v>
      </c>
      <c r="G862" s="33">
        <v>0.1986</v>
      </c>
      <c r="H862" s="33"/>
      <c r="I862" s="34" t="s">
        <v>164</v>
      </c>
      <c r="J862" s="19">
        <v>8.46491E-4</v>
      </c>
    </row>
    <row r="863" spans="1:10" x14ac:dyDescent="0.15">
      <c r="A863" s="34" t="s">
        <v>207</v>
      </c>
      <c r="B863" s="34" t="s">
        <v>925</v>
      </c>
      <c r="C863" s="34">
        <v>86</v>
      </c>
      <c r="D863" s="33" t="s">
        <v>211</v>
      </c>
      <c r="E863" s="34" t="s">
        <v>742</v>
      </c>
      <c r="F863" s="33">
        <v>0.01</v>
      </c>
      <c r="G863" s="33">
        <v>6.3E-2</v>
      </c>
      <c r="H863" s="33"/>
      <c r="I863" s="34" t="s">
        <v>164</v>
      </c>
      <c r="J863" s="19">
        <v>1.4974500000000001E-4</v>
      </c>
    </row>
    <row r="864" spans="1:10" x14ac:dyDescent="0.15">
      <c r="A864" s="34" t="s">
        <v>207</v>
      </c>
      <c r="B864" s="34" t="s">
        <v>925</v>
      </c>
      <c r="C864" s="34">
        <v>86</v>
      </c>
      <c r="D864" s="33" t="s">
        <v>189</v>
      </c>
      <c r="E864" s="34" t="s">
        <v>743</v>
      </c>
      <c r="F864" s="33">
        <v>0.1361</v>
      </c>
      <c r="G864" s="33">
        <v>4.9333333E-2</v>
      </c>
      <c r="H864" s="33"/>
      <c r="I864" s="34" t="s">
        <v>164</v>
      </c>
      <c r="J864" s="19">
        <v>2.0894339999999998E-3</v>
      </c>
    </row>
    <row r="865" spans="1:10" x14ac:dyDescent="0.15">
      <c r="A865" s="34" t="s">
        <v>207</v>
      </c>
      <c r="B865" s="34" t="s">
        <v>925</v>
      </c>
      <c r="C865" s="34">
        <v>86</v>
      </c>
      <c r="D865" s="33" t="s">
        <v>190</v>
      </c>
      <c r="E865" s="34" t="s">
        <v>743</v>
      </c>
      <c r="F865" s="33">
        <v>0.16950000000000001</v>
      </c>
      <c r="G865" s="33">
        <v>6.8400000000000002E-2</v>
      </c>
      <c r="H865" s="33"/>
      <c r="I865" s="34" t="s">
        <v>164</v>
      </c>
      <c r="J865" s="19">
        <v>2.0641570000000001E-3</v>
      </c>
    </row>
    <row r="866" spans="1:10" x14ac:dyDescent="0.15">
      <c r="A866" s="34" t="s">
        <v>207</v>
      </c>
      <c r="B866" s="34" t="s">
        <v>925</v>
      </c>
      <c r="C866" s="34">
        <v>86</v>
      </c>
      <c r="D866" s="33" t="s">
        <v>191</v>
      </c>
      <c r="E866" s="34" t="s">
        <v>743</v>
      </c>
      <c r="F866" s="33">
        <v>0.03</v>
      </c>
      <c r="G866" s="33">
        <v>5.0439999999999999E-2</v>
      </c>
      <c r="H866" s="33"/>
      <c r="I866" s="34" t="s">
        <v>164</v>
      </c>
      <c r="J866" s="19">
        <v>4.8915799999999995E-4</v>
      </c>
    </row>
    <row r="867" spans="1:10" x14ac:dyDescent="0.15">
      <c r="A867" s="34" t="s">
        <v>207</v>
      </c>
      <c r="B867" s="34" t="s">
        <v>925</v>
      </c>
      <c r="C867" s="34">
        <v>86</v>
      </c>
      <c r="D867" s="33" t="s">
        <v>192</v>
      </c>
      <c r="E867" s="34" t="s">
        <v>743</v>
      </c>
      <c r="F867" s="33">
        <v>9.4500000000000001E-2</v>
      </c>
      <c r="G867" s="33">
        <v>0.13066666699999999</v>
      </c>
      <c r="H867" s="33"/>
      <c r="I867" s="34" t="s">
        <v>164</v>
      </c>
      <c r="J867" s="19">
        <v>6.5903000000000001E-4</v>
      </c>
    </row>
    <row r="868" spans="1:10" x14ac:dyDescent="0.15">
      <c r="A868" s="34" t="s">
        <v>207</v>
      </c>
      <c r="B868" s="34" t="s">
        <v>925</v>
      </c>
      <c r="C868" s="34">
        <v>86</v>
      </c>
      <c r="D868" s="33" t="s">
        <v>193</v>
      </c>
      <c r="E868" s="34" t="s">
        <v>743</v>
      </c>
      <c r="F868" s="33">
        <v>7.17E-2</v>
      </c>
      <c r="G868" s="33">
        <v>4.1000000000000002E-2</v>
      </c>
      <c r="H868" s="33"/>
      <c r="I868" s="34" t="s">
        <v>164</v>
      </c>
      <c r="J868" s="19">
        <v>1.5535550000000001E-3</v>
      </c>
    </row>
    <row r="869" spans="1:10" x14ac:dyDescent="0.15">
      <c r="A869" s="34" t="s">
        <v>207</v>
      </c>
      <c r="B869" s="34" t="s">
        <v>925</v>
      </c>
      <c r="C869" s="34">
        <v>86</v>
      </c>
      <c r="D869" s="33" t="s">
        <v>194</v>
      </c>
      <c r="E869" s="34" t="s">
        <v>743</v>
      </c>
      <c r="F869" s="33">
        <v>0.1168</v>
      </c>
      <c r="G869" s="33">
        <v>0.2</v>
      </c>
      <c r="H869" s="33"/>
      <c r="I869" s="34" t="s">
        <v>164</v>
      </c>
      <c r="J869" s="19">
        <v>5.5094300000000003E-4</v>
      </c>
    </row>
    <row r="870" spans="1:10" x14ac:dyDescent="0.15">
      <c r="A870" s="34" t="s">
        <v>207</v>
      </c>
      <c r="B870" s="34" t="s">
        <v>925</v>
      </c>
      <c r="C870" s="34">
        <v>86</v>
      </c>
      <c r="D870" s="33" t="s">
        <v>195</v>
      </c>
      <c r="E870" s="34" t="s">
        <v>743</v>
      </c>
      <c r="F870" s="33">
        <v>2.7900000000000001E-2</v>
      </c>
      <c r="G870" s="33">
        <v>1.7999999999999999E-2</v>
      </c>
      <c r="H870" s="33"/>
      <c r="I870" s="34" t="s">
        <v>164</v>
      </c>
      <c r="J870" s="19">
        <v>1.172916E-3</v>
      </c>
    </row>
    <row r="871" spans="1:10" x14ac:dyDescent="0.15">
      <c r="A871" s="34" t="s">
        <v>207</v>
      </c>
      <c r="B871" s="34" t="s">
        <v>925</v>
      </c>
      <c r="C871" s="34">
        <v>86</v>
      </c>
      <c r="D871" s="33" t="s">
        <v>196</v>
      </c>
      <c r="E871" s="34" t="s">
        <v>743</v>
      </c>
      <c r="F871" s="33">
        <v>2.64E-2</v>
      </c>
      <c r="G871" s="33">
        <v>2.7666666999999999E-2</v>
      </c>
      <c r="H871" s="33"/>
      <c r="I871" s="34" t="s">
        <v>164</v>
      </c>
      <c r="J871" s="19">
        <v>7.0613499999999999E-4</v>
      </c>
    </row>
    <row r="872" spans="1:10" x14ac:dyDescent="0.15">
      <c r="A872" s="34" t="s">
        <v>207</v>
      </c>
      <c r="B872" s="34" t="s">
        <v>925</v>
      </c>
      <c r="C872" s="34">
        <v>86</v>
      </c>
      <c r="D872" s="33" t="s">
        <v>197</v>
      </c>
      <c r="E872" s="34" t="s">
        <v>743</v>
      </c>
      <c r="F872" s="33">
        <v>2.7300000000000001E-2</v>
      </c>
      <c r="G872" s="33">
        <v>3.5999999999999997E-2</v>
      </c>
      <c r="H872" s="33"/>
      <c r="I872" s="34" t="s">
        <v>164</v>
      </c>
      <c r="J872" s="19">
        <v>7.1540899999999997E-4</v>
      </c>
    </row>
    <row r="873" spans="1:10" x14ac:dyDescent="0.15">
      <c r="A873" s="34" t="s">
        <v>207</v>
      </c>
      <c r="B873" s="34" t="s">
        <v>925</v>
      </c>
      <c r="C873" s="34">
        <v>86</v>
      </c>
      <c r="D873" s="33" t="s">
        <v>198</v>
      </c>
      <c r="E873" s="34" t="s">
        <v>743</v>
      </c>
      <c r="F873" s="33">
        <v>1.77E-2</v>
      </c>
      <c r="G873" s="33">
        <v>0.14000000000000001</v>
      </c>
      <c r="H873" s="33"/>
      <c r="I873" s="34" t="s">
        <v>164</v>
      </c>
      <c r="J873" s="19">
        <v>1.1927200000000001E-4</v>
      </c>
    </row>
    <row r="874" spans="1:10" x14ac:dyDescent="0.15">
      <c r="A874" s="34" t="s">
        <v>207</v>
      </c>
      <c r="B874" s="34" t="s">
        <v>925</v>
      </c>
      <c r="C874" s="34">
        <v>86</v>
      </c>
      <c r="D874" s="33" t="s">
        <v>199</v>
      </c>
      <c r="E874" s="34" t="s">
        <v>743</v>
      </c>
      <c r="F874" s="33">
        <v>2.0199999999999999E-2</v>
      </c>
      <c r="G874" s="33">
        <v>2.6666667000000002E-2</v>
      </c>
      <c r="H874" s="33"/>
      <c r="I874" s="34" t="s">
        <v>164</v>
      </c>
      <c r="J874" s="19">
        <v>4.6647700000000003E-4</v>
      </c>
    </row>
    <row r="875" spans="1:10" x14ac:dyDescent="0.15">
      <c r="A875" s="34" t="s">
        <v>207</v>
      </c>
      <c r="B875" s="34" t="s">
        <v>925</v>
      </c>
      <c r="C875" s="34">
        <v>86</v>
      </c>
      <c r="D875" s="33" t="s">
        <v>200</v>
      </c>
      <c r="E875" s="34" t="s">
        <v>743</v>
      </c>
      <c r="F875" s="33">
        <v>0.1095</v>
      </c>
      <c r="G875" s="33">
        <v>4.3200000000000002E-2</v>
      </c>
      <c r="H875" s="33"/>
      <c r="I875" s="34" t="s">
        <v>164</v>
      </c>
      <c r="J875" s="19">
        <v>2.1113460000000001E-3</v>
      </c>
    </row>
    <row r="876" spans="1:10" x14ac:dyDescent="0.15">
      <c r="A876" s="34" t="s">
        <v>207</v>
      </c>
      <c r="B876" s="34" t="s">
        <v>925</v>
      </c>
      <c r="C876" s="34">
        <v>86</v>
      </c>
      <c r="D876" s="33" t="s">
        <v>201</v>
      </c>
      <c r="E876" s="34" t="s">
        <v>743</v>
      </c>
      <c r="F876" s="33">
        <v>1.55E-2</v>
      </c>
      <c r="G876" s="33">
        <v>1.2800000000000001E-2</v>
      </c>
      <c r="H876" s="33"/>
      <c r="I876" s="34" t="s">
        <v>164</v>
      </c>
      <c r="J876" s="19">
        <v>9.2810699999999996E-4</v>
      </c>
    </row>
    <row r="877" spans="1:10" x14ac:dyDescent="0.15">
      <c r="A877" s="32" t="s">
        <v>208</v>
      </c>
      <c r="B877" s="32" t="s">
        <v>925</v>
      </c>
      <c r="C877" s="32">
        <v>133</v>
      </c>
      <c r="D877" s="44" t="s">
        <v>165</v>
      </c>
      <c r="E877" s="32" t="s">
        <v>742</v>
      </c>
      <c r="F877" s="44">
        <v>1.0009999999999999</v>
      </c>
      <c r="G877" s="44">
        <v>0.26500000000000001</v>
      </c>
      <c r="H877" s="44"/>
      <c r="I877" s="32" t="s">
        <v>164</v>
      </c>
      <c r="J877" s="19">
        <v>3.5639999999999999E-3</v>
      </c>
    </row>
    <row r="878" spans="1:10" x14ac:dyDescent="0.15">
      <c r="A878" s="32" t="s">
        <v>208</v>
      </c>
      <c r="B878" s="32" t="s">
        <v>925</v>
      </c>
      <c r="C878" s="32">
        <v>133</v>
      </c>
      <c r="D878" s="44" t="s">
        <v>166</v>
      </c>
      <c r="E878" s="32" t="s">
        <v>742</v>
      </c>
      <c r="F878" s="44">
        <v>0.24199999999999999</v>
      </c>
      <c r="G878" s="44">
        <v>0.23300000000000001</v>
      </c>
      <c r="H878" s="44"/>
      <c r="I878" s="32" t="s">
        <v>164</v>
      </c>
      <c r="J878" s="19">
        <v>9.7999999999999997E-4</v>
      </c>
    </row>
    <row r="879" spans="1:10" x14ac:dyDescent="0.15">
      <c r="A879" s="32" t="s">
        <v>208</v>
      </c>
      <c r="B879" s="32" t="s">
        <v>925</v>
      </c>
      <c r="C879" s="32">
        <v>133</v>
      </c>
      <c r="D879" s="44" t="s">
        <v>167</v>
      </c>
      <c r="E879" s="32" t="s">
        <v>742</v>
      </c>
      <c r="F879" s="44">
        <v>0.45500000000000002</v>
      </c>
      <c r="G879" s="44">
        <v>0.42133300000000001</v>
      </c>
      <c r="H879" s="44"/>
      <c r="I879" s="32" t="s">
        <v>164</v>
      </c>
      <c r="J879" s="19">
        <v>1.0189999999999999E-3</v>
      </c>
    </row>
    <row r="880" spans="1:10" x14ac:dyDescent="0.15">
      <c r="A880" s="32" t="s">
        <v>208</v>
      </c>
      <c r="B880" s="32" t="s">
        <v>925</v>
      </c>
      <c r="C880" s="32">
        <v>133</v>
      </c>
      <c r="D880" s="44" t="s">
        <v>168</v>
      </c>
      <c r="E880" s="32" t="s">
        <v>742</v>
      </c>
      <c r="F880" s="44">
        <v>0.26200000000000001</v>
      </c>
      <c r="G880" s="44">
        <v>0.1525</v>
      </c>
      <c r="H880" s="44"/>
      <c r="I880" s="32" t="s">
        <v>164</v>
      </c>
      <c r="J880" s="19">
        <v>1.621E-3</v>
      </c>
    </row>
    <row r="881" spans="1:10" x14ac:dyDescent="0.15">
      <c r="A881" s="32" t="s">
        <v>208</v>
      </c>
      <c r="B881" s="32" t="s">
        <v>925</v>
      </c>
      <c r="C881" s="32">
        <v>133</v>
      </c>
      <c r="D881" s="44" t="s">
        <v>169</v>
      </c>
      <c r="E881" s="32" t="s">
        <v>742</v>
      </c>
      <c r="F881" s="44">
        <v>0.61899999999999999</v>
      </c>
      <c r="G881" s="44">
        <v>0.12</v>
      </c>
      <c r="H881" s="44"/>
      <c r="I881" s="32" t="s">
        <v>164</v>
      </c>
      <c r="J881" s="19">
        <v>4.5729999999999998E-3</v>
      </c>
    </row>
    <row r="882" spans="1:10" x14ac:dyDescent="0.15">
      <c r="A882" s="32" t="s">
        <v>208</v>
      </c>
      <c r="B882" s="32" t="s">
        <v>925</v>
      </c>
      <c r="C882" s="32">
        <v>133</v>
      </c>
      <c r="D882" s="44" t="s">
        <v>170</v>
      </c>
      <c r="E882" s="32" t="s">
        <v>742</v>
      </c>
      <c r="F882" s="44">
        <v>0.39700000000000002</v>
      </c>
      <c r="G882" s="44">
        <v>5.8000000000000003E-2</v>
      </c>
      <c r="H882" s="44"/>
      <c r="I882" s="32" t="s">
        <v>164</v>
      </c>
      <c r="J882" s="19">
        <v>4.8549999999999999E-3</v>
      </c>
    </row>
    <row r="883" spans="1:10" x14ac:dyDescent="0.15">
      <c r="A883" s="32" t="s">
        <v>208</v>
      </c>
      <c r="B883" s="32" t="s">
        <v>925</v>
      </c>
      <c r="C883" s="32">
        <v>133</v>
      </c>
      <c r="D883" s="44" t="s">
        <v>171</v>
      </c>
      <c r="E883" s="32" t="s">
        <v>742</v>
      </c>
      <c r="F883" s="44">
        <v>0.315</v>
      </c>
      <c r="G883" s="44">
        <v>8.7599999999999997E-2</v>
      </c>
      <c r="H883" s="44"/>
      <c r="I883" s="32" t="s">
        <v>164</v>
      </c>
      <c r="J883" s="19">
        <v>3.3149999999999998E-3</v>
      </c>
    </row>
    <row r="884" spans="1:10" x14ac:dyDescent="0.15">
      <c r="A884" s="32" t="s">
        <v>208</v>
      </c>
      <c r="B884" s="32" t="s">
        <v>925</v>
      </c>
      <c r="C884" s="32">
        <v>133</v>
      </c>
      <c r="D884" s="44" t="s">
        <v>172</v>
      </c>
      <c r="E884" s="32" t="s">
        <v>742</v>
      </c>
      <c r="F884" s="44">
        <v>0.105</v>
      </c>
      <c r="G884" s="44">
        <v>0.10580000000000001</v>
      </c>
      <c r="H884" s="44"/>
      <c r="I884" s="32" t="s">
        <v>164</v>
      </c>
      <c r="J884" s="19">
        <v>8.7699999999999996E-4</v>
      </c>
    </row>
    <row r="885" spans="1:10" x14ac:dyDescent="0.15">
      <c r="A885" s="32" t="s">
        <v>208</v>
      </c>
      <c r="B885" s="32" t="s">
        <v>925</v>
      </c>
      <c r="C885" s="32">
        <v>133</v>
      </c>
      <c r="D885" s="44" t="s">
        <v>173</v>
      </c>
      <c r="E885" s="32" t="s">
        <v>742</v>
      </c>
      <c r="F885" s="44">
        <v>0.32600000000000001</v>
      </c>
      <c r="G885" s="44">
        <v>0.31374999999999997</v>
      </c>
      <c r="H885" s="44"/>
      <c r="I885" s="32" t="s">
        <v>164</v>
      </c>
      <c r="J885" s="19">
        <v>9.7999999999999997E-4</v>
      </c>
    </row>
    <row r="886" spans="1:10" x14ac:dyDescent="0.15">
      <c r="A886" s="32" t="s">
        <v>208</v>
      </c>
      <c r="B886" s="32" t="s">
        <v>925</v>
      </c>
      <c r="C886" s="32">
        <v>133</v>
      </c>
      <c r="D886" s="44" t="s">
        <v>174</v>
      </c>
      <c r="E886" s="32" t="s">
        <v>742</v>
      </c>
      <c r="F886" s="44">
        <v>0.84699999999999998</v>
      </c>
      <c r="G886" s="44">
        <v>0.36125000000000002</v>
      </c>
      <c r="H886" s="44"/>
      <c r="I886" s="32" t="s">
        <v>164</v>
      </c>
      <c r="J886" s="19">
        <v>2.212E-3</v>
      </c>
    </row>
    <row r="887" spans="1:10" x14ac:dyDescent="0.15">
      <c r="A887" s="32" t="s">
        <v>208</v>
      </c>
      <c r="B887" s="32" t="s">
        <v>925</v>
      </c>
      <c r="C887" s="32">
        <v>133</v>
      </c>
      <c r="D887" s="44" t="s">
        <v>175</v>
      </c>
      <c r="E887" s="32" t="s">
        <v>742</v>
      </c>
      <c r="F887" s="44">
        <v>0.28799999999999998</v>
      </c>
      <c r="G887" s="44">
        <v>0.21379999999999999</v>
      </c>
      <c r="H887" s="44"/>
      <c r="I887" s="32" t="s">
        <v>164</v>
      </c>
      <c r="J887" s="19">
        <v>1.271E-3</v>
      </c>
    </row>
    <row r="888" spans="1:10" x14ac:dyDescent="0.15">
      <c r="A888" s="32" t="s">
        <v>208</v>
      </c>
      <c r="B888" s="32" t="s">
        <v>925</v>
      </c>
      <c r="C888" s="32">
        <v>133</v>
      </c>
      <c r="D888" s="44" t="s">
        <v>176</v>
      </c>
      <c r="E888" s="32" t="s">
        <v>742</v>
      </c>
      <c r="F888" s="44">
        <v>0.124</v>
      </c>
      <c r="G888" s="44">
        <v>0.12875</v>
      </c>
      <c r="H888" s="44"/>
      <c r="I888" s="32" t="s">
        <v>164</v>
      </c>
      <c r="J888" s="19">
        <v>9.0899999999999998E-4</v>
      </c>
    </row>
    <row r="889" spans="1:10" x14ac:dyDescent="0.15">
      <c r="A889" s="32" t="s">
        <v>208</v>
      </c>
      <c r="B889" s="32" t="s">
        <v>925</v>
      </c>
      <c r="C889" s="32">
        <v>133</v>
      </c>
      <c r="D889" s="44" t="s">
        <v>177</v>
      </c>
      <c r="E889" s="32" t="s">
        <v>742</v>
      </c>
      <c r="F889" s="44">
        <v>0.56399999999999995</v>
      </c>
      <c r="G889" s="44">
        <v>0.148286</v>
      </c>
      <c r="H889" s="44"/>
      <c r="I889" s="32" t="s">
        <v>164</v>
      </c>
      <c r="J889" s="19">
        <v>2.8660000000000001E-3</v>
      </c>
    </row>
    <row r="890" spans="1:10" x14ac:dyDescent="0.15">
      <c r="A890" s="32" t="s">
        <v>208</v>
      </c>
      <c r="B890" s="32" t="s">
        <v>925</v>
      </c>
      <c r="C890" s="32">
        <v>133</v>
      </c>
      <c r="D890" s="44" t="s">
        <v>178</v>
      </c>
      <c r="E890" s="32" t="s">
        <v>742</v>
      </c>
      <c r="F890" s="44">
        <v>6.8000000000000005E-2</v>
      </c>
      <c r="G890" s="44">
        <v>3.7499999999999999E-2</v>
      </c>
      <c r="H890" s="44"/>
      <c r="I890" s="32" t="s">
        <v>164</v>
      </c>
      <c r="J890" s="19">
        <v>1.5659999999999999E-3</v>
      </c>
    </row>
    <row r="891" spans="1:10" x14ac:dyDescent="0.15">
      <c r="A891" s="32" t="s">
        <v>208</v>
      </c>
      <c r="B891" s="32" t="s">
        <v>925</v>
      </c>
      <c r="C891" s="32">
        <v>133</v>
      </c>
      <c r="D891" s="44" t="s">
        <v>179</v>
      </c>
      <c r="E891" s="32" t="s">
        <v>742</v>
      </c>
      <c r="F891" s="44">
        <v>9.4E-2</v>
      </c>
      <c r="G891" s="44">
        <v>8.2400000000000001E-2</v>
      </c>
      <c r="H891" s="44"/>
      <c r="I891" s="32" t="s">
        <v>164</v>
      </c>
      <c r="J891" s="19">
        <v>1.0759999999999999E-3</v>
      </c>
    </row>
    <row r="892" spans="1:10" x14ac:dyDescent="0.15">
      <c r="A892" s="32" t="s">
        <v>208</v>
      </c>
      <c r="B892" s="32" t="s">
        <v>925</v>
      </c>
      <c r="C892" s="32">
        <v>133</v>
      </c>
      <c r="D892" s="44" t="s">
        <v>181</v>
      </c>
      <c r="E892" s="32" t="s">
        <v>742</v>
      </c>
      <c r="F892" s="44">
        <v>0.05</v>
      </c>
      <c r="G892" s="44">
        <v>0.12125</v>
      </c>
      <c r="H892" s="44"/>
      <c r="I892" s="32" t="s">
        <v>164</v>
      </c>
      <c r="J892" s="19">
        <v>3.8900000000000002E-4</v>
      </c>
    </row>
    <row r="893" spans="1:10" x14ac:dyDescent="0.15">
      <c r="A893" s="32" t="s">
        <v>208</v>
      </c>
      <c r="B893" s="32" t="s">
        <v>925</v>
      </c>
      <c r="C893" s="32">
        <v>133</v>
      </c>
      <c r="D893" s="44" t="s">
        <v>183</v>
      </c>
      <c r="E893" s="32" t="s">
        <v>742</v>
      </c>
      <c r="F893" s="44">
        <v>0.10100000000000001</v>
      </c>
      <c r="G893" s="44">
        <v>6.7000000000000004E-2</v>
      </c>
      <c r="H893" s="44"/>
      <c r="I893" s="32" t="s">
        <v>164</v>
      </c>
      <c r="J893" s="19">
        <v>1.4220000000000001E-3</v>
      </c>
    </row>
    <row r="894" spans="1:10" x14ac:dyDescent="0.15">
      <c r="A894" s="32" t="s">
        <v>208</v>
      </c>
      <c r="B894" s="32" t="s">
        <v>925</v>
      </c>
      <c r="C894" s="32">
        <v>133</v>
      </c>
      <c r="D894" s="44" t="s">
        <v>184</v>
      </c>
      <c r="E894" s="32" t="s">
        <v>742</v>
      </c>
      <c r="F894" s="44">
        <v>2.6880000000000001E-2</v>
      </c>
      <c r="G894" s="44">
        <v>0.110333</v>
      </c>
      <c r="H894" s="44"/>
      <c r="I894" s="32" t="s">
        <v>164</v>
      </c>
      <c r="J894" s="19">
        <v>2.3000000000000001E-4</v>
      </c>
    </row>
    <row r="895" spans="1:10" x14ac:dyDescent="0.15">
      <c r="A895" s="32" t="s">
        <v>208</v>
      </c>
      <c r="B895" s="32" t="s">
        <v>925</v>
      </c>
      <c r="C895" s="32">
        <v>133</v>
      </c>
      <c r="D895" s="44" t="s">
        <v>185</v>
      </c>
      <c r="E895" s="32" t="s">
        <v>742</v>
      </c>
      <c r="F895" s="44">
        <v>0.82199999999999995</v>
      </c>
      <c r="G895" s="44">
        <v>0.27750000000000002</v>
      </c>
      <c r="H895" s="44"/>
      <c r="I895" s="32" t="s">
        <v>164</v>
      </c>
      <c r="J895" s="19">
        <v>2.794E-3</v>
      </c>
    </row>
    <row r="896" spans="1:10" x14ac:dyDescent="0.15">
      <c r="A896" s="32" t="s">
        <v>208</v>
      </c>
      <c r="B896" s="32" t="s">
        <v>925</v>
      </c>
      <c r="C896" s="32">
        <v>133</v>
      </c>
      <c r="D896" s="44" t="s">
        <v>186</v>
      </c>
      <c r="E896" s="32" t="s">
        <v>742</v>
      </c>
      <c r="F896" s="44">
        <v>8.6999999999999994E-2</v>
      </c>
      <c r="G896" s="44">
        <v>0.06</v>
      </c>
      <c r="H896" s="44"/>
      <c r="I896" s="32" t="s">
        <v>164</v>
      </c>
      <c r="J896" s="19">
        <v>1.3680000000000001E-3</v>
      </c>
    </row>
    <row r="897" spans="1:10" x14ac:dyDescent="0.15">
      <c r="A897" s="32" t="s">
        <v>208</v>
      </c>
      <c r="B897" s="32" t="s">
        <v>925</v>
      </c>
      <c r="C897" s="32">
        <v>133</v>
      </c>
      <c r="D897" s="44" t="s">
        <v>211</v>
      </c>
      <c r="E897" s="32" t="s">
        <v>742</v>
      </c>
      <c r="F897" s="44">
        <v>0.30599999999999999</v>
      </c>
      <c r="G897" s="44">
        <v>0.26300000000000001</v>
      </c>
      <c r="H897" s="44"/>
      <c r="I897" s="32" t="s">
        <v>164</v>
      </c>
      <c r="J897" s="19">
        <v>1.0009999999999999E-3</v>
      </c>
    </row>
    <row r="898" spans="1:10" x14ac:dyDescent="0.15">
      <c r="A898" s="32" t="s">
        <v>208</v>
      </c>
      <c r="B898" s="32" t="s">
        <v>925</v>
      </c>
      <c r="C898" s="32">
        <v>133</v>
      </c>
      <c r="D898" s="44" t="s">
        <v>189</v>
      </c>
      <c r="E898" s="32" t="s">
        <v>743</v>
      </c>
      <c r="F898" s="44">
        <v>0.26645999999999997</v>
      </c>
      <c r="G898" s="44">
        <v>2.6332999999999999E-2</v>
      </c>
      <c r="H898" s="44"/>
      <c r="I898" s="32" t="s">
        <v>164</v>
      </c>
      <c r="J898" s="19">
        <v>5.5030000000000001E-3</v>
      </c>
    </row>
    <row r="899" spans="1:10" x14ac:dyDescent="0.15">
      <c r="A899" s="32" t="s">
        <v>208</v>
      </c>
      <c r="B899" s="32" t="s">
        <v>925</v>
      </c>
      <c r="C899" s="32">
        <v>133</v>
      </c>
      <c r="D899" s="44" t="s">
        <v>190</v>
      </c>
      <c r="E899" s="32" t="s">
        <v>743</v>
      </c>
      <c r="F899" s="44">
        <v>0.22700000000000001</v>
      </c>
      <c r="G899" s="44">
        <v>3.6200000000000003E-2</v>
      </c>
      <c r="H899" s="44"/>
      <c r="I899" s="32" t="s">
        <v>164</v>
      </c>
      <c r="J899" s="19">
        <v>4.5100000000000001E-3</v>
      </c>
    </row>
    <row r="900" spans="1:10" x14ac:dyDescent="0.15">
      <c r="A900" s="32" t="s">
        <v>208</v>
      </c>
      <c r="B900" s="32" t="s">
        <v>925</v>
      </c>
      <c r="C900" s="32">
        <v>133</v>
      </c>
      <c r="D900" s="44" t="s">
        <v>191</v>
      </c>
      <c r="E900" s="32" t="s">
        <v>743</v>
      </c>
      <c r="F900" s="44">
        <v>4.3999999999999997E-2</v>
      </c>
      <c r="G900" s="44">
        <v>8.5199999999999998E-2</v>
      </c>
      <c r="H900" s="44"/>
      <c r="I900" s="32" t="s">
        <v>164</v>
      </c>
      <c r="J900" s="19">
        <v>4.75E-4</v>
      </c>
    </row>
    <row r="901" spans="1:10" x14ac:dyDescent="0.15">
      <c r="A901" s="32" t="s">
        <v>208</v>
      </c>
      <c r="B901" s="32" t="s">
        <v>925</v>
      </c>
      <c r="C901" s="32">
        <v>133</v>
      </c>
      <c r="D901" s="44" t="s">
        <v>192</v>
      </c>
      <c r="E901" s="32" t="s">
        <v>743</v>
      </c>
      <c r="F901" s="44">
        <v>4.6609999999999999E-2</v>
      </c>
      <c r="G901" s="44">
        <v>5.8000000000000003E-2</v>
      </c>
      <c r="H901" s="44"/>
      <c r="I901" s="32" t="s">
        <v>164</v>
      </c>
      <c r="J901" s="19">
        <v>6.9099999999999999E-4</v>
      </c>
    </row>
    <row r="902" spans="1:10" x14ac:dyDescent="0.15">
      <c r="A902" s="32" t="s">
        <v>208</v>
      </c>
      <c r="B902" s="32" t="s">
        <v>925</v>
      </c>
      <c r="C902" s="32">
        <v>133</v>
      </c>
      <c r="D902" s="44" t="s">
        <v>193</v>
      </c>
      <c r="E902" s="32" t="s">
        <v>743</v>
      </c>
      <c r="F902" s="44">
        <v>8.0000000000000002E-3</v>
      </c>
      <c r="G902" s="44">
        <v>0.1118</v>
      </c>
      <c r="H902" s="44"/>
      <c r="I902" s="32" t="s">
        <v>164</v>
      </c>
      <c r="J902" s="35">
        <v>6.7500000000000001E-5</v>
      </c>
    </row>
    <row r="903" spans="1:10" x14ac:dyDescent="0.15">
      <c r="A903" s="32" t="s">
        <v>208</v>
      </c>
      <c r="B903" s="32" t="s">
        <v>925</v>
      </c>
      <c r="C903" s="32">
        <v>133</v>
      </c>
      <c r="D903" s="44" t="s">
        <v>194</v>
      </c>
      <c r="E903" s="32" t="s">
        <v>743</v>
      </c>
      <c r="F903" s="44">
        <v>2.8000000000000001E-2</v>
      </c>
      <c r="G903" s="44">
        <v>8.0000000000000002E-3</v>
      </c>
      <c r="H903" s="44"/>
      <c r="I903" s="32" t="s">
        <v>164</v>
      </c>
      <c r="J903" s="19">
        <v>3.0959999999999998E-3</v>
      </c>
    </row>
    <row r="904" spans="1:10" x14ac:dyDescent="0.15">
      <c r="A904" s="32" t="s">
        <v>208</v>
      </c>
      <c r="B904" s="32" t="s">
        <v>925</v>
      </c>
      <c r="C904" s="32">
        <v>133</v>
      </c>
      <c r="D904" s="44" t="s">
        <v>195</v>
      </c>
      <c r="E904" s="32" t="s">
        <v>743</v>
      </c>
      <c r="F904" s="44">
        <v>2.4E-2</v>
      </c>
      <c r="G904" s="44">
        <v>1.2200000000000001E-2</v>
      </c>
      <c r="H904" s="44"/>
      <c r="I904" s="32" t="s">
        <v>164</v>
      </c>
      <c r="J904" s="19">
        <v>1.6280000000000001E-3</v>
      </c>
    </row>
    <row r="905" spans="1:10" x14ac:dyDescent="0.15">
      <c r="A905" s="32" t="s">
        <v>208</v>
      </c>
      <c r="B905" s="32" t="s">
        <v>925</v>
      </c>
      <c r="C905" s="32">
        <v>133</v>
      </c>
      <c r="D905" s="44" t="s">
        <v>196</v>
      </c>
      <c r="E905" s="32" t="s">
        <v>743</v>
      </c>
      <c r="F905" s="44">
        <v>7.0000000000000001E-3</v>
      </c>
      <c r="G905" s="44">
        <v>2.4400000000000002E-2</v>
      </c>
      <c r="H905" s="44"/>
      <c r="I905" s="32" t="s">
        <v>164</v>
      </c>
      <c r="J905" s="19">
        <v>2.1800000000000001E-4</v>
      </c>
    </row>
    <row r="906" spans="1:10" x14ac:dyDescent="0.15">
      <c r="A906" s="32" t="s">
        <v>208</v>
      </c>
      <c r="B906" s="32" t="s">
        <v>925</v>
      </c>
      <c r="C906" s="32">
        <v>133</v>
      </c>
      <c r="D906" s="44" t="s">
        <v>197</v>
      </c>
      <c r="E906" s="32" t="s">
        <v>743</v>
      </c>
      <c r="F906" s="44">
        <v>0.04</v>
      </c>
      <c r="G906" s="44">
        <v>5.4199999999999998E-2</v>
      </c>
      <c r="H906" s="44"/>
      <c r="I906" s="32" t="s">
        <v>164</v>
      </c>
      <c r="J906" s="19">
        <v>6.5700000000000003E-4</v>
      </c>
    </row>
    <row r="907" spans="1:10" x14ac:dyDescent="0.15">
      <c r="A907" s="32" t="s">
        <v>208</v>
      </c>
      <c r="B907" s="32" t="s">
        <v>925</v>
      </c>
      <c r="C907" s="32">
        <v>133</v>
      </c>
      <c r="D907" s="44" t="s">
        <v>198</v>
      </c>
      <c r="E907" s="32" t="s">
        <v>743</v>
      </c>
      <c r="F907" s="44">
        <v>2.8000000000000001E-2</v>
      </c>
      <c r="G907" s="44">
        <v>8.0000000000000002E-3</v>
      </c>
      <c r="H907" s="44"/>
      <c r="I907" s="32" t="s">
        <v>164</v>
      </c>
      <c r="J907" s="19">
        <v>3.0959999999999998E-3</v>
      </c>
    </row>
    <row r="908" spans="1:10" x14ac:dyDescent="0.15">
      <c r="A908" s="32" t="s">
        <v>208</v>
      </c>
      <c r="B908" s="32" t="s">
        <v>925</v>
      </c>
      <c r="C908" s="32">
        <v>133</v>
      </c>
      <c r="D908" s="44" t="s">
        <v>199</v>
      </c>
      <c r="E908" s="32" t="s">
        <v>743</v>
      </c>
      <c r="F908" s="44">
        <v>7.6999999999999999E-2</v>
      </c>
      <c r="G908" s="44">
        <v>8.9800000000000005E-2</v>
      </c>
      <c r="H908" s="44"/>
      <c r="I908" s="32" t="s">
        <v>164</v>
      </c>
      <c r="J908" s="19">
        <v>7.54E-4</v>
      </c>
    </row>
    <row r="909" spans="1:10" x14ac:dyDescent="0.15">
      <c r="A909" s="32" t="s">
        <v>208</v>
      </c>
      <c r="B909" s="32" t="s">
        <v>925</v>
      </c>
      <c r="C909" s="32">
        <v>133</v>
      </c>
      <c r="D909" s="44" t="s">
        <v>200</v>
      </c>
      <c r="E909" s="32" t="s">
        <v>743</v>
      </c>
      <c r="F909" s="44">
        <v>0.153</v>
      </c>
      <c r="G909" s="44">
        <v>3.3599999999999998E-2</v>
      </c>
      <c r="H909" s="44"/>
      <c r="I909" s="32" t="s">
        <v>164</v>
      </c>
      <c r="J909" s="19">
        <v>3.7200000000000002E-3</v>
      </c>
    </row>
    <row r="910" spans="1:10" x14ac:dyDescent="0.15">
      <c r="A910" s="32" t="s">
        <v>208</v>
      </c>
      <c r="B910" s="32" t="s">
        <v>925</v>
      </c>
      <c r="C910" s="32">
        <v>133</v>
      </c>
      <c r="D910" s="44" t="s">
        <v>201</v>
      </c>
      <c r="E910" s="32" t="s">
        <v>743</v>
      </c>
      <c r="F910" s="44">
        <v>0.16900000000000001</v>
      </c>
      <c r="G910" s="44">
        <v>0.1938</v>
      </c>
      <c r="H910" s="44"/>
      <c r="I910" s="32" t="s">
        <v>164</v>
      </c>
      <c r="J910" s="19">
        <v>8.2299999999999995E-4</v>
      </c>
    </row>
    <row r="911" spans="1:10" x14ac:dyDescent="0.15">
      <c r="A911" s="27" t="s">
        <v>905</v>
      </c>
      <c r="B911" s="27" t="s">
        <v>925</v>
      </c>
      <c r="C911" s="27">
        <v>3.4540000000000002</v>
      </c>
      <c r="D911" s="28" t="s">
        <v>99</v>
      </c>
      <c r="E911" s="27" t="s">
        <v>742</v>
      </c>
      <c r="F911" s="28">
        <v>5.2999999999999999E-2</v>
      </c>
      <c r="G911" s="28">
        <v>8.2000000000000003E-2</v>
      </c>
      <c r="H911" s="28">
        <v>0</v>
      </c>
      <c r="I911" s="27" t="s">
        <v>209</v>
      </c>
      <c r="J911" s="19">
        <f>F911*COS(RADIANS(H911))/(1060*G911)</f>
        <v>6.0975609756097561E-4</v>
      </c>
    </row>
    <row r="912" spans="1:10" x14ac:dyDescent="0.15">
      <c r="A912" s="27" t="s">
        <v>905</v>
      </c>
      <c r="B912" s="27" t="s">
        <v>925</v>
      </c>
      <c r="C912" s="27">
        <v>3.4540000000000002</v>
      </c>
      <c r="D912" s="28" t="s">
        <v>142</v>
      </c>
      <c r="E912" s="27" t="s">
        <v>742</v>
      </c>
      <c r="F912" s="28">
        <v>2.2699999999999998E-2</v>
      </c>
      <c r="G912" s="28">
        <v>0.08</v>
      </c>
      <c r="H912" s="28">
        <v>0</v>
      </c>
      <c r="I912" s="27" t="s">
        <v>209</v>
      </c>
      <c r="J912" s="19">
        <f t="shared" ref="J912:J979" si="32">F912*COS(RADIANS(H912))/(1060*G912)</f>
        <v>2.6768867924528299E-4</v>
      </c>
    </row>
    <row r="913" spans="1:10" x14ac:dyDescent="0.15">
      <c r="A913" s="27" t="s">
        <v>905</v>
      </c>
      <c r="B913" s="27" t="s">
        <v>925</v>
      </c>
      <c r="C913" s="27">
        <v>3.4540000000000002</v>
      </c>
      <c r="D913" s="28" t="s">
        <v>210</v>
      </c>
      <c r="E913" s="27" t="s">
        <v>742</v>
      </c>
      <c r="F913" s="28">
        <v>3.61E-2</v>
      </c>
      <c r="G913" s="28">
        <v>6.7000000000000004E-2</v>
      </c>
      <c r="H913" s="28">
        <v>25</v>
      </c>
      <c r="I913" s="27" t="s">
        <v>209</v>
      </c>
      <c r="J913" s="19">
        <f t="shared" si="32"/>
        <v>4.6068306268689179E-4</v>
      </c>
    </row>
    <row r="914" spans="1:10" x14ac:dyDescent="0.15">
      <c r="A914" s="27" t="s">
        <v>905</v>
      </c>
      <c r="B914" s="27" t="s">
        <v>925</v>
      </c>
      <c r="C914" s="27">
        <v>3.4540000000000002</v>
      </c>
      <c r="D914" s="28" t="s">
        <v>115</v>
      </c>
      <c r="E914" s="27" t="s">
        <v>742</v>
      </c>
      <c r="F914" s="28">
        <v>8.8000000000000005E-3</v>
      </c>
      <c r="G914" s="28">
        <v>3.4000000000000002E-2</v>
      </c>
      <c r="H914" s="28">
        <v>0</v>
      </c>
      <c r="I914" s="27" t="s">
        <v>209</v>
      </c>
      <c r="J914" s="19">
        <f t="shared" si="32"/>
        <v>2.4417314095449502E-4</v>
      </c>
    </row>
    <row r="915" spans="1:10" x14ac:dyDescent="0.15">
      <c r="A915" s="27" t="s">
        <v>905</v>
      </c>
      <c r="B915" s="27" t="s">
        <v>925</v>
      </c>
      <c r="C915" s="27">
        <v>3.4540000000000002</v>
      </c>
      <c r="D915" s="28" t="s">
        <v>97</v>
      </c>
      <c r="E915" s="27" t="s">
        <v>742</v>
      </c>
      <c r="F915" s="28">
        <v>7.1999999999999998E-3</v>
      </c>
      <c r="G915" s="28">
        <v>2.1999999999999999E-2</v>
      </c>
      <c r="H915" s="28">
        <v>15</v>
      </c>
      <c r="I915" s="27" t="s">
        <v>209</v>
      </c>
      <c r="J915" s="19">
        <f t="shared" si="32"/>
        <v>2.9822752784225089E-4</v>
      </c>
    </row>
    <row r="916" spans="1:10" x14ac:dyDescent="0.15">
      <c r="A916" s="27" t="s">
        <v>905</v>
      </c>
      <c r="B916" s="27" t="s">
        <v>925</v>
      </c>
      <c r="C916" s="27">
        <v>3.4540000000000002</v>
      </c>
      <c r="D916" s="28" t="s">
        <v>96</v>
      </c>
      <c r="E916" s="27" t="s">
        <v>742</v>
      </c>
      <c r="F916" s="28">
        <v>8.0999999999999996E-3</v>
      </c>
      <c r="G916" s="28">
        <v>2.1000000000000001E-2</v>
      </c>
      <c r="H916" s="28">
        <v>8</v>
      </c>
      <c r="I916" s="27" t="s">
        <v>209</v>
      </c>
      <c r="J916" s="19">
        <f t="shared" si="32"/>
        <v>3.6034013283049054E-4</v>
      </c>
    </row>
    <row r="917" spans="1:10" x14ac:dyDescent="0.15">
      <c r="A917" s="27" t="s">
        <v>905</v>
      </c>
      <c r="B917" s="27" t="s">
        <v>925</v>
      </c>
      <c r="C917" s="27">
        <v>3.4540000000000002</v>
      </c>
      <c r="D917" s="28" t="s">
        <v>100</v>
      </c>
      <c r="E917" s="27" t="s">
        <v>742</v>
      </c>
      <c r="F917" s="28">
        <v>8.8000000000000005E-3</v>
      </c>
      <c r="G917" s="28">
        <v>4.5999999999999999E-2</v>
      </c>
      <c r="H917" s="28">
        <v>0</v>
      </c>
      <c r="I917" s="27" t="s">
        <v>209</v>
      </c>
      <c r="J917" s="19">
        <f t="shared" si="32"/>
        <v>1.8047579983593111E-4</v>
      </c>
    </row>
    <row r="918" spans="1:10" x14ac:dyDescent="0.15">
      <c r="A918" s="27" t="s">
        <v>905</v>
      </c>
      <c r="B918" s="27" t="s">
        <v>925</v>
      </c>
      <c r="C918" s="27">
        <v>3.4540000000000002</v>
      </c>
      <c r="D918" s="28" t="s">
        <v>140</v>
      </c>
      <c r="E918" s="27" t="s">
        <v>742</v>
      </c>
      <c r="F918" s="28">
        <v>1.9E-3</v>
      </c>
      <c r="G918" s="28">
        <v>1.7999999999999999E-2</v>
      </c>
      <c r="H918" s="28">
        <v>0</v>
      </c>
      <c r="I918" s="27" t="s">
        <v>209</v>
      </c>
      <c r="J918" s="19">
        <f t="shared" si="32"/>
        <v>9.9580712788259967E-5</v>
      </c>
    </row>
    <row r="919" spans="1:10" x14ac:dyDescent="0.15">
      <c r="A919" s="27" t="s">
        <v>905</v>
      </c>
      <c r="B919" s="27" t="s">
        <v>925</v>
      </c>
      <c r="C919" s="27">
        <v>3.4540000000000002</v>
      </c>
      <c r="D919" s="28" t="s">
        <v>138</v>
      </c>
      <c r="E919" s="27" t="s">
        <v>742</v>
      </c>
      <c r="F919" s="28">
        <v>7.0000000000000001E-3</v>
      </c>
      <c r="G919" s="28">
        <v>5.2999999999999999E-2</v>
      </c>
      <c r="H919" s="28">
        <v>0</v>
      </c>
      <c r="I919" s="27" t="s">
        <v>209</v>
      </c>
      <c r="J919" s="19">
        <f t="shared" si="32"/>
        <v>1.2459950160199359E-4</v>
      </c>
    </row>
    <row r="920" spans="1:10" x14ac:dyDescent="0.15">
      <c r="A920" s="27" t="s">
        <v>905</v>
      </c>
      <c r="B920" s="27" t="s">
        <v>925</v>
      </c>
      <c r="C920" s="27">
        <v>3.4540000000000002</v>
      </c>
      <c r="D920" s="28" t="s">
        <v>139</v>
      </c>
      <c r="E920" s="27" t="s">
        <v>742</v>
      </c>
      <c r="F920" s="28">
        <v>4.3E-3</v>
      </c>
      <c r="G920" s="28">
        <v>3.5000000000000003E-2</v>
      </c>
      <c r="H920" s="28">
        <v>0</v>
      </c>
      <c r="I920" s="27" t="s">
        <v>209</v>
      </c>
      <c r="J920" s="19">
        <f t="shared" si="32"/>
        <v>1.1590296495956873E-4</v>
      </c>
    </row>
    <row r="921" spans="1:10" x14ac:dyDescent="0.15">
      <c r="A921" s="27" t="s">
        <v>905</v>
      </c>
      <c r="B921" s="27" t="s">
        <v>925</v>
      </c>
      <c r="C921" s="27">
        <v>3.4540000000000002</v>
      </c>
      <c r="D921" s="28" t="s">
        <v>105</v>
      </c>
      <c r="E921" s="27" t="s">
        <v>742</v>
      </c>
      <c r="F921" s="28">
        <v>1.2699999999999999E-2</v>
      </c>
      <c r="G921" s="28">
        <v>2.1999999999999999E-2</v>
      </c>
      <c r="H921" s="28">
        <v>31</v>
      </c>
      <c r="I921" s="27" t="s">
        <v>209</v>
      </c>
      <c r="J921" s="19">
        <f t="shared" si="32"/>
        <v>4.6681066547670782E-4</v>
      </c>
    </row>
    <row r="922" spans="1:10" x14ac:dyDescent="0.15">
      <c r="A922" s="27" t="s">
        <v>905</v>
      </c>
      <c r="B922" s="27" t="s">
        <v>925</v>
      </c>
      <c r="C922" s="27">
        <v>3.4540000000000002</v>
      </c>
      <c r="D922" s="28" t="s">
        <v>101</v>
      </c>
      <c r="E922" s="27" t="s">
        <v>742</v>
      </c>
      <c r="F922" s="28">
        <v>6.0999999999999995E-3</v>
      </c>
      <c r="G922" s="28">
        <v>0.09</v>
      </c>
      <c r="H922" s="28">
        <v>0</v>
      </c>
      <c r="I922" s="27" t="s">
        <v>209</v>
      </c>
      <c r="J922" s="19">
        <f t="shared" si="32"/>
        <v>6.3941299790356388E-5</v>
      </c>
    </row>
    <row r="923" spans="1:10" x14ac:dyDescent="0.15">
      <c r="A923" s="27" t="s">
        <v>905</v>
      </c>
      <c r="B923" s="27" t="s">
        <v>925</v>
      </c>
      <c r="C923" s="27">
        <v>3.4540000000000002</v>
      </c>
      <c r="D923" s="28" t="s">
        <v>98</v>
      </c>
      <c r="E923" s="27" t="s">
        <v>742</v>
      </c>
      <c r="F923" s="28">
        <v>1.9E-2</v>
      </c>
      <c r="G923" s="28">
        <v>6.6000000000000003E-2</v>
      </c>
      <c r="H923" s="28">
        <v>0</v>
      </c>
      <c r="I923" s="27" t="s">
        <v>209</v>
      </c>
      <c r="J923" s="19">
        <f t="shared" si="32"/>
        <v>2.7158376214979986E-4</v>
      </c>
    </row>
    <row r="924" spans="1:10" x14ac:dyDescent="0.15">
      <c r="A924" s="27" t="s">
        <v>905</v>
      </c>
      <c r="B924" s="27" t="s">
        <v>925</v>
      </c>
      <c r="C924" s="27">
        <v>3.4540000000000002</v>
      </c>
      <c r="D924" s="28" t="s">
        <v>126</v>
      </c>
      <c r="E924" s="27" t="s">
        <v>742</v>
      </c>
      <c r="F924" s="28">
        <v>2.5999999999999999E-3</v>
      </c>
      <c r="G924" s="28">
        <v>1.9E-2</v>
      </c>
      <c r="H924" s="28">
        <v>26</v>
      </c>
      <c r="I924" s="27" t="s">
        <v>209</v>
      </c>
      <c r="J924" s="19">
        <f t="shared" si="32"/>
        <v>1.1603100895619832E-4</v>
      </c>
    </row>
    <row r="925" spans="1:10" x14ac:dyDescent="0.15">
      <c r="A925" s="27" t="s">
        <v>905</v>
      </c>
      <c r="B925" s="27" t="s">
        <v>925</v>
      </c>
      <c r="C925" s="27">
        <v>3.4540000000000002</v>
      </c>
      <c r="D925" s="28" t="s">
        <v>121</v>
      </c>
      <c r="E925" s="27" t="s">
        <v>742</v>
      </c>
      <c r="F925" s="28">
        <v>1.11E-2</v>
      </c>
      <c r="G925" s="28">
        <v>0.03</v>
      </c>
      <c r="H925" s="28">
        <v>0</v>
      </c>
      <c r="I925" s="27" t="s">
        <v>209</v>
      </c>
      <c r="J925" s="19">
        <f t="shared" si="32"/>
        <v>3.4905660377358493E-4</v>
      </c>
    </row>
    <row r="926" spans="1:10" x14ac:dyDescent="0.15">
      <c r="A926" s="27" t="s">
        <v>905</v>
      </c>
      <c r="B926" s="27" t="s">
        <v>925</v>
      </c>
      <c r="C926" s="27">
        <v>3.4540000000000002</v>
      </c>
      <c r="D926" s="28" t="s">
        <v>102</v>
      </c>
      <c r="E926" s="27" t="s">
        <v>742</v>
      </c>
      <c r="F926" s="28">
        <v>2.01E-2</v>
      </c>
      <c r="G926" s="28">
        <v>3.5999999999999997E-2</v>
      </c>
      <c r="H926" s="28">
        <v>24</v>
      </c>
      <c r="I926" s="27" t="s">
        <v>209</v>
      </c>
      <c r="J926" s="19">
        <f t="shared" si="32"/>
        <v>4.8119139671426306E-4</v>
      </c>
    </row>
    <row r="927" spans="1:10" x14ac:dyDescent="0.15">
      <c r="A927" s="27" t="s">
        <v>905</v>
      </c>
      <c r="B927" s="27" t="s">
        <v>925</v>
      </c>
      <c r="C927" s="27">
        <v>3.4540000000000002</v>
      </c>
      <c r="D927" s="28" t="s">
        <v>103</v>
      </c>
      <c r="E927" s="27" t="s">
        <v>742</v>
      </c>
      <c r="F927" s="28">
        <v>9.1000000000000004E-3</v>
      </c>
      <c r="G927" s="28">
        <v>2.9000000000000001E-2</v>
      </c>
      <c r="H927" s="28">
        <v>31</v>
      </c>
      <c r="I927" s="27" t="s">
        <v>209</v>
      </c>
      <c r="J927" s="19">
        <f t="shared" si="32"/>
        <v>2.5374829005820503E-4</v>
      </c>
    </row>
    <row r="928" spans="1:10" x14ac:dyDescent="0.15">
      <c r="A928" s="27" t="s">
        <v>905</v>
      </c>
      <c r="B928" s="27" t="s">
        <v>925</v>
      </c>
      <c r="C928" s="27">
        <v>3.4540000000000002</v>
      </c>
      <c r="D928" s="28" t="s">
        <v>213</v>
      </c>
      <c r="E928" s="27" t="s">
        <v>742</v>
      </c>
      <c r="F928" s="28">
        <v>1.1900000000000001E-2</v>
      </c>
      <c r="G928" s="28">
        <v>3.2000000000000001E-2</v>
      </c>
      <c r="H928" s="28">
        <v>25</v>
      </c>
      <c r="I928" s="27" t="s">
        <v>209</v>
      </c>
      <c r="J928" s="19">
        <f t="shared" si="32"/>
        <v>3.1795585689080584E-4</v>
      </c>
    </row>
    <row r="929" spans="1:11" x14ac:dyDescent="0.15">
      <c r="A929" s="27" t="s">
        <v>905</v>
      </c>
      <c r="B929" s="27" t="s">
        <v>925</v>
      </c>
      <c r="C929" s="27">
        <v>3.4540000000000002</v>
      </c>
      <c r="D929" s="28" t="s">
        <v>214</v>
      </c>
      <c r="E929" s="27" t="s">
        <v>742</v>
      </c>
      <c r="F929" s="28">
        <v>2.6800000000000001E-3</v>
      </c>
      <c r="G929" s="28">
        <v>1.6E-2</v>
      </c>
      <c r="H929" s="28">
        <v>20</v>
      </c>
      <c r="I929" s="27" t="s">
        <v>209</v>
      </c>
      <c r="J929" s="19">
        <f t="shared" si="32"/>
        <v>1.4848916413362232E-4</v>
      </c>
    </row>
    <row r="930" spans="1:11" x14ac:dyDescent="0.15">
      <c r="A930" s="27" t="s">
        <v>905</v>
      </c>
      <c r="B930" s="27" t="s">
        <v>925</v>
      </c>
      <c r="C930" s="27">
        <v>3.4540000000000002</v>
      </c>
      <c r="D930" s="28" t="s">
        <v>106</v>
      </c>
      <c r="E930" s="27" t="s">
        <v>743</v>
      </c>
      <c r="F930" s="28">
        <v>6.4000000000000003E-3</v>
      </c>
      <c r="G930" s="28">
        <v>1.0999999999999999E-2</v>
      </c>
      <c r="H930" s="28">
        <v>31</v>
      </c>
      <c r="I930" s="27" t="s">
        <v>209</v>
      </c>
      <c r="J930" s="19">
        <f t="shared" si="32"/>
        <v>4.7048634000802054E-4</v>
      </c>
    </row>
    <row r="931" spans="1:11" x14ac:dyDescent="0.15">
      <c r="A931" s="27" t="s">
        <v>905</v>
      </c>
      <c r="B931" s="27" t="s">
        <v>925</v>
      </c>
      <c r="C931" s="27">
        <v>3.4540000000000002</v>
      </c>
      <c r="D931" s="28" t="s">
        <v>107</v>
      </c>
      <c r="E931" s="27" t="s">
        <v>743</v>
      </c>
      <c r="F931" s="28">
        <v>7.1999999999999998E-3</v>
      </c>
      <c r="G931" s="28">
        <v>1.0999999999999999E-2</v>
      </c>
      <c r="H931" s="28">
        <v>36</v>
      </c>
      <c r="I931" s="27" t="s">
        <v>209</v>
      </c>
      <c r="J931" s="19">
        <f t="shared" si="32"/>
        <v>4.9956452482844099E-4</v>
      </c>
    </row>
    <row r="932" spans="1:11" x14ac:dyDescent="0.15">
      <c r="A932" s="27" t="s">
        <v>905</v>
      </c>
      <c r="B932" s="27" t="s">
        <v>925</v>
      </c>
      <c r="C932" s="27">
        <v>3.4540000000000002</v>
      </c>
      <c r="D932" s="28" t="s">
        <v>130</v>
      </c>
      <c r="E932" s="27" t="s">
        <v>743</v>
      </c>
      <c r="F932" s="28">
        <v>3.8E-3</v>
      </c>
      <c r="G932" s="28">
        <v>0.02</v>
      </c>
      <c r="H932" s="28">
        <v>31</v>
      </c>
      <c r="I932" s="27" t="s">
        <v>209</v>
      </c>
      <c r="J932" s="19">
        <f t="shared" si="32"/>
        <v>1.536431954088692E-4</v>
      </c>
    </row>
    <row r="933" spans="1:11" x14ac:dyDescent="0.15">
      <c r="A933" s="27" t="s">
        <v>905</v>
      </c>
      <c r="B933" s="27" t="s">
        <v>925</v>
      </c>
      <c r="C933" s="27">
        <v>3.4540000000000002</v>
      </c>
      <c r="D933" s="28" t="s">
        <v>129</v>
      </c>
      <c r="E933" s="27" t="s">
        <v>743</v>
      </c>
      <c r="F933" s="28">
        <v>1E-3</v>
      </c>
      <c r="G933" s="28">
        <v>1.0999999999999999E-2</v>
      </c>
      <c r="H933" s="28">
        <v>28</v>
      </c>
      <c r="I933" s="27" t="s">
        <v>209</v>
      </c>
      <c r="J933" s="19">
        <f t="shared" si="32"/>
        <v>7.5724493384127535E-5</v>
      </c>
    </row>
    <row r="934" spans="1:11" x14ac:dyDescent="0.15">
      <c r="A934" s="27" t="s">
        <v>905</v>
      </c>
      <c r="B934" s="27" t="s">
        <v>925</v>
      </c>
      <c r="C934" s="27">
        <v>3.4540000000000002</v>
      </c>
      <c r="D934" s="28" t="s">
        <v>128</v>
      </c>
      <c r="E934" s="27" t="s">
        <v>743</v>
      </c>
      <c r="F934" s="28">
        <v>1.6999999999999999E-3</v>
      </c>
      <c r="G934" s="28">
        <v>1.2E-2</v>
      </c>
      <c r="H934" s="28">
        <v>21</v>
      </c>
      <c r="I934" s="27" t="s">
        <v>209</v>
      </c>
      <c r="J934" s="19">
        <f t="shared" si="32"/>
        <v>1.2477096895009772E-4</v>
      </c>
    </row>
    <row r="935" spans="1:11" x14ac:dyDescent="0.15">
      <c r="A935" s="27" t="s">
        <v>905</v>
      </c>
      <c r="B935" s="27" t="s">
        <v>925</v>
      </c>
      <c r="C935" s="27">
        <v>3.4540000000000002</v>
      </c>
      <c r="D935" s="28" t="s">
        <v>161</v>
      </c>
      <c r="E935" s="27" t="s">
        <v>743</v>
      </c>
      <c r="F935" s="28">
        <v>6.9999999999999999E-4</v>
      </c>
      <c r="G935" s="28">
        <v>0.01</v>
      </c>
      <c r="H935" s="28">
        <v>42</v>
      </c>
      <c r="I935" s="27" t="s">
        <v>209</v>
      </c>
      <c r="J935" s="19">
        <f t="shared" si="32"/>
        <v>4.9075601682469425E-5</v>
      </c>
    </row>
    <row r="936" spans="1:11" x14ac:dyDescent="0.15">
      <c r="A936" s="27" t="s">
        <v>905</v>
      </c>
      <c r="B936" s="27" t="s">
        <v>925</v>
      </c>
      <c r="C936" s="27">
        <v>3.4540000000000002</v>
      </c>
      <c r="D936" s="28" t="s">
        <v>111</v>
      </c>
      <c r="E936" s="27" t="s">
        <v>743</v>
      </c>
      <c r="F936" s="28">
        <v>7.3000000000000001E-3</v>
      </c>
      <c r="G936" s="28">
        <v>7.0000000000000001E-3</v>
      </c>
      <c r="H936" s="28">
        <v>42</v>
      </c>
      <c r="I936" s="27" t="s">
        <v>209</v>
      </c>
      <c r="J936" s="19">
        <f t="shared" si="32"/>
        <v>7.3112631077964672E-4</v>
      </c>
    </row>
    <row r="937" spans="1:11" x14ac:dyDescent="0.15">
      <c r="A937" s="27" t="s">
        <v>905</v>
      </c>
      <c r="B937" s="27" t="s">
        <v>925</v>
      </c>
      <c r="C937" s="27">
        <v>3.4540000000000002</v>
      </c>
      <c r="D937" s="28" t="s">
        <v>149</v>
      </c>
      <c r="E937" s="27" t="s">
        <v>743</v>
      </c>
      <c r="F937" s="28">
        <v>6.9999999999999999E-4</v>
      </c>
      <c r="G937" s="28">
        <v>1.2E-2</v>
      </c>
      <c r="H937" s="28">
        <v>29</v>
      </c>
      <c r="I937" s="27" t="s">
        <v>209</v>
      </c>
      <c r="J937" s="19">
        <f t="shared" si="32"/>
        <v>4.8131587657042213E-5</v>
      </c>
    </row>
    <row r="938" spans="1:11" x14ac:dyDescent="0.15">
      <c r="A938" s="27" t="s">
        <v>905</v>
      </c>
      <c r="B938" s="27" t="s">
        <v>925</v>
      </c>
      <c r="C938" s="27">
        <v>3.4540000000000002</v>
      </c>
      <c r="D938" s="28" t="s">
        <v>150</v>
      </c>
      <c r="E938" s="27" t="s">
        <v>743</v>
      </c>
      <c r="F938" s="28">
        <v>4.0000000000000002E-4</v>
      </c>
      <c r="G938" s="28">
        <v>1.2E-2</v>
      </c>
      <c r="H938" s="28">
        <v>30</v>
      </c>
      <c r="I938" s="27" t="s">
        <v>209</v>
      </c>
      <c r="J938" s="19">
        <f t="shared" si="32"/>
        <v>2.7233503263661594E-5</v>
      </c>
    </row>
    <row r="939" spans="1:11" x14ac:dyDescent="0.15">
      <c r="A939" s="27" t="s">
        <v>905</v>
      </c>
      <c r="B939" s="27" t="s">
        <v>925</v>
      </c>
      <c r="C939" s="27">
        <v>3.4540000000000002</v>
      </c>
      <c r="D939" s="28" t="s">
        <v>109</v>
      </c>
      <c r="E939" s="27" t="s">
        <v>743</v>
      </c>
      <c r="F939" s="28">
        <v>8.0000000000000004E-4</v>
      </c>
      <c r="G939" s="28">
        <v>1.2999999999999999E-2</v>
      </c>
      <c r="H939" s="28">
        <v>25</v>
      </c>
      <c r="I939" s="27" t="s">
        <v>209</v>
      </c>
      <c r="J939" s="19">
        <f t="shared" si="32"/>
        <v>5.2615836692984038E-5</v>
      </c>
    </row>
    <row r="940" spans="1:11" x14ac:dyDescent="0.15">
      <c r="A940" s="27" t="s">
        <v>905</v>
      </c>
      <c r="B940" s="27" t="s">
        <v>925</v>
      </c>
      <c r="C940" s="27">
        <v>3.4540000000000002</v>
      </c>
      <c r="D940" s="28" t="s">
        <v>212</v>
      </c>
      <c r="E940" s="27" t="s">
        <v>743</v>
      </c>
      <c r="F940" s="28">
        <v>2.9999999999999997E-4</v>
      </c>
      <c r="G940" s="28">
        <v>8.9999999999999993E-3</v>
      </c>
      <c r="H940" s="28">
        <v>32</v>
      </c>
      <c r="I940" s="27" t="s">
        <v>209</v>
      </c>
      <c r="J940" s="19">
        <f t="shared" si="32"/>
        <v>2.6668179124415908E-5</v>
      </c>
    </row>
    <row r="941" spans="1:11" x14ac:dyDescent="0.15">
      <c r="A941" s="27" t="s">
        <v>905</v>
      </c>
      <c r="B941" s="27" t="s">
        <v>925</v>
      </c>
      <c r="C941" s="27">
        <v>3.4540000000000002</v>
      </c>
      <c r="D941" s="28" t="s">
        <v>146</v>
      </c>
      <c r="E941" s="27" t="s">
        <v>743</v>
      </c>
      <c r="F941" s="28">
        <v>1.6999999999999999E-3</v>
      </c>
      <c r="G941" s="28">
        <v>1.2999999999999999E-2</v>
      </c>
      <c r="H941" s="28">
        <v>27</v>
      </c>
      <c r="I941" s="27" t="s">
        <v>209</v>
      </c>
      <c r="J941" s="19">
        <f t="shared" si="32"/>
        <v>1.0992097903630082E-4</v>
      </c>
    </row>
    <row r="942" spans="1:11" x14ac:dyDescent="0.15">
      <c r="A942" s="27" t="s">
        <v>905</v>
      </c>
      <c r="B942" s="27" t="s">
        <v>925</v>
      </c>
      <c r="C942" s="27">
        <v>3.4540000000000002</v>
      </c>
      <c r="D942" s="28" t="s">
        <v>163</v>
      </c>
      <c r="E942" s="27" t="s">
        <v>743</v>
      </c>
      <c r="F942" s="28">
        <v>3.5999999999999999E-3</v>
      </c>
      <c r="G942" s="28">
        <v>0.01</v>
      </c>
      <c r="H942" s="28">
        <v>32</v>
      </c>
      <c r="I942" s="27" t="s">
        <v>209</v>
      </c>
      <c r="J942" s="19">
        <f t="shared" si="32"/>
        <v>2.8801633454369184E-4</v>
      </c>
    </row>
    <row r="943" spans="1:11" x14ac:dyDescent="0.15">
      <c r="A943" s="27" t="s">
        <v>905</v>
      </c>
      <c r="B943" s="27" t="s">
        <v>925</v>
      </c>
      <c r="C943" s="27">
        <v>3.4540000000000002</v>
      </c>
      <c r="D943" s="28" t="s">
        <v>108</v>
      </c>
      <c r="E943" s="27" t="s">
        <v>743</v>
      </c>
      <c r="F943" s="28">
        <v>3.5999999999999999E-3</v>
      </c>
      <c r="G943" s="28">
        <v>5.8999999999999997E-2</v>
      </c>
      <c r="H943" s="28">
        <v>0</v>
      </c>
      <c r="I943" s="27" t="s">
        <v>209</v>
      </c>
      <c r="J943" s="19">
        <f t="shared" si="32"/>
        <v>5.7563159577870162E-5</v>
      </c>
    </row>
    <row r="944" spans="1:11" x14ac:dyDescent="0.15">
      <c r="A944" s="12" t="s">
        <v>215</v>
      </c>
      <c r="B944" s="12" t="s">
        <v>924</v>
      </c>
      <c r="C944" s="12">
        <v>75.337000000000003</v>
      </c>
      <c r="D944" s="13" t="s">
        <v>216</v>
      </c>
      <c r="E944" s="12" t="s">
        <v>742</v>
      </c>
      <c r="F944" s="13">
        <v>0.11398886800933333</v>
      </c>
      <c r="G944" s="13">
        <v>0.1031</v>
      </c>
      <c r="H944" s="13">
        <v>6.5764620000000003</v>
      </c>
      <c r="I944" s="12" t="s">
        <v>256</v>
      </c>
      <c r="J944" s="19">
        <f t="shared" si="32"/>
        <v>1.0361694071538306E-3</v>
      </c>
      <c r="K944" s="22"/>
    </row>
    <row r="945" spans="1:10" x14ac:dyDescent="0.15">
      <c r="A945" s="12" t="s">
        <v>215</v>
      </c>
      <c r="B945" s="12" t="s">
        <v>924</v>
      </c>
      <c r="C945" s="12">
        <v>75.337000000000003</v>
      </c>
      <c r="D945" s="13" t="s">
        <v>217</v>
      </c>
      <c r="E945" s="12" t="s">
        <v>742</v>
      </c>
      <c r="F945" s="13">
        <v>0.17524937599999998</v>
      </c>
      <c r="G945" s="13">
        <v>0.1082</v>
      </c>
      <c r="H945" s="13">
        <v>7.893662</v>
      </c>
      <c r="I945" s="12" t="s">
        <v>256</v>
      </c>
      <c r="J945" s="19">
        <f t="shared" si="32"/>
        <v>1.5135216822401096E-3</v>
      </c>
    </row>
    <row r="946" spans="1:10" x14ac:dyDescent="0.15">
      <c r="A946" s="12" t="s">
        <v>215</v>
      </c>
      <c r="B946" s="12" t="s">
        <v>924</v>
      </c>
      <c r="C946" s="12">
        <v>75.337000000000003</v>
      </c>
      <c r="D946" s="13" t="s">
        <v>218</v>
      </c>
      <c r="E946" s="12" t="s">
        <v>742</v>
      </c>
      <c r="F946" s="13">
        <v>0.18698519073333331</v>
      </c>
      <c r="G946" s="13">
        <v>0.1772</v>
      </c>
      <c r="H946" s="13">
        <v>11.15578</v>
      </c>
      <c r="I946" s="12" t="s">
        <v>256</v>
      </c>
      <c r="J946" s="19">
        <f t="shared" si="32"/>
        <v>9.7668162292151544E-4</v>
      </c>
    </row>
    <row r="947" spans="1:10" x14ac:dyDescent="0.15">
      <c r="A947" s="12" t="s">
        <v>215</v>
      </c>
      <c r="B947" s="12" t="s">
        <v>924</v>
      </c>
      <c r="C947" s="12">
        <v>75.337000000000003</v>
      </c>
      <c r="D947" s="13" t="s">
        <v>219</v>
      </c>
      <c r="E947" s="12" t="s">
        <v>742</v>
      </c>
      <c r="F947" s="13">
        <v>0.16482554623333331</v>
      </c>
      <c r="G947" s="13">
        <v>0.15620000000000001</v>
      </c>
      <c r="H947" s="13">
        <v>9.6282289999999993</v>
      </c>
      <c r="I947" s="12" t="s">
        <v>256</v>
      </c>
      <c r="J947" s="19">
        <f t="shared" si="32"/>
        <v>9.8146892444296737E-4</v>
      </c>
    </row>
    <row r="948" spans="1:10" x14ac:dyDescent="0.15">
      <c r="A948" s="12" t="s">
        <v>215</v>
      </c>
      <c r="B948" s="12" t="s">
        <v>924</v>
      </c>
      <c r="C948" s="12">
        <v>75.337000000000003</v>
      </c>
      <c r="D948" s="13" t="s">
        <v>220</v>
      </c>
      <c r="E948" s="12" t="s">
        <v>742</v>
      </c>
      <c r="F948" s="13">
        <v>0.14530395464999996</v>
      </c>
      <c r="G948" s="13">
        <v>0.13769999999999999</v>
      </c>
      <c r="H948" s="13">
        <v>11.87785</v>
      </c>
      <c r="I948" s="12" t="s">
        <v>256</v>
      </c>
      <c r="J948" s="19">
        <f t="shared" si="32"/>
        <v>9.7417682481052543E-4</v>
      </c>
    </row>
    <row r="949" spans="1:10" x14ac:dyDescent="0.15">
      <c r="A949" s="12" t="s">
        <v>215</v>
      </c>
      <c r="B949" s="12" t="s">
        <v>924</v>
      </c>
      <c r="C949" s="12">
        <v>75.337000000000003</v>
      </c>
      <c r="D949" s="13" t="s">
        <v>221</v>
      </c>
      <c r="E949" s="12" t="s">
        <v>742</v>
      </c>
      <c r="F949" s="13">
        <v>0.11143135519999998</v>
      </c>
      <c r="G949" s="13">
        <v>0.1056</v>
      </c>
      <c r="H949" s="13">
        <v>17.846679999999999</v>
      </c>
      <c r="I949" s="12" t="s">
        <v>256</v>
      </c>
      <c r="J949" s="19">
        <f t="shared" si="32"/>
        <v>9.475886283604898E-4</v>
      </c>
    </row>
    <row r="950" spans="1:10" x14ac:dyDescent="0.15">
      <c r="A950" s="12" t="s">
        <v>215</v>
      </c>
      <c r="B950" s="12" t="s">
        <v>924</v>
      </c>
      <c r="C950" s="12">
        <v>75.337000000000003</v>
      </c>
      <c r="D950" s="13" t="s">
        <v>222</v>
      </c>
      <c r="E950" s="12" t="s">
        <v>742</v>
      </c>
      <c r="F950" s="13">
        <v>0.22642787086933339</v>
      </c>
      <c r="G950" s="13">
        <v>9.7600000000000006E-2</v>
      </c>
      <c r="H950" s="13">
        <v>10.079370000000001</v>
      </c>
      <c r="I950" s="12" t="s">
        <v>256</v>
      </c>
      <c r="J950" s="19">
        <f t="shared" si="32"/>
        <v>2.154860440608052E-3</v>
      </c>
    </row>
    <row r="951" spans="1:10" x14ac:dyDescent="0.15">
      <c r="A951" s="12" t="s">
        <v>215</v>
      </c>
      <c r="B951" s="12" t="s">
        <v>924</v>
      </c>
      <c r="C951" s="12">
        <v>75.337000000000003</v>
      </c>
      <c r="D951" s="13" t="s">
        <v>223</v>
      </c>
      <c r="E951" s="12" t="s">
        <v>742</v>
      </c>
      <c r="F951" s="13">
        <v>0.10856124697733331</v>
      </c>
      <c r="G951" s="13">
        <v>0.1103</v>
      </c>
      <c r="H951" s="13">
        <v>15.138870000000001</v>
      </c>
      <c r="I951" s="12" t="s">
        <v>256</v>
      </c>
      <c r="J951" s="19">
        <f t="shared" si="32"/>
        <v>8.9630084949766952E-4</v>
      </c>
    </row>
    <row r="952" spans="1:10" x14ac:dyDescent="0.15">
      <c r="A952" s="12" t="s">
        <v>215</v>
      </c>
      <c r="B952" s="12" t="s">
        <v>924</v>
      </c>
      <c r="C952" s="12">
        <v>75.337000000000003</v>
      </c>
      <c r="D952" s="13" t="s">
        <v>230</v>
      </c>
      <c r="E952" s="12" t="s">
        <v>742</v>
      </c>
      <c r="F952" s="13">
        <v>0.25548860091999998</v>
      </c>
      <c r="G952" s="13">
        <v>0.14699999999999999</v>
      </c>
      <c r="H952" s="13">
        <v>20.283380000000001</v>
      </c>
      <c r="I952" s="12" t="s">
        <v>256</v>
      </c>
      <c r="J952" s="19">
        <f t="shared" ref="J952:J971" si="33">F952*COS(RADIANS(H952))/(1060*G952)</f>
        <v>1.5379645310333563E-3</v>
      </c>
    </row>
    <row r="953" spans="1:10" x14ac:dyDescent="0.15">
      <c r="A953" s="12" t="s">
        <v>215</v>
      </c>
      <c r="B953" s="12" t="s">
        <v>924</v>
      </c>
      <c r="C953" s="12">
        <v>75.337000000000003</v>
      </c>
      <c r="D953" s="13" t="s">
        <v>231</v>
      </c>
      <c r="E953" s="12" t="s">
        <v>742</v>
      </c>
      <c r="F953" s="13">
        <v>0.38999029220000003</v>
      </c>
      <c r="G953" s="13">
        <v>0.157</v>
      </c>
      <c r="H953" s="13">
        <v>21.049440000000001</v>
      </c>
      <c r="I953" s="12" t="s">
        <v>256</v>
      </c>
      <c r="J953" s="19">
        <f t="shared" si="33"/>
        <v>2.1870362345662595E-3</v>
      </c>
    </row>
    <row r="954" spans="1:10" x14ac:dyDescent="0.15">
      <c r="A954" s="12" t="s">
        <v>215</v>
      </c>
      <c r="B954" s="12" t="s">
        <v>924</v>
      </c>
      <c r="C954" s="12">
        <v>75.337000000000003</v>
      </c>
      <c r="D954" s="13" t="s">
        <v>232</v>
      </c>
      <c r="E954" s="12" t="s">
        <v>742</v>
      </c>
      <c r="F954" s="13">
        <v>0.27961902180000003</v>
      </c>
      <c r="G954" s="13">
        <v>0.16700000000000001</v>
      </c>
      <c r="H954" s="13">
        <v>21.910830000000001</v>
      </c>
      <c r="I954" s="12" t="s">
        <v>256</v>
      </c>
      <c r="J954" s="19">
        <f t="shared" si="33"/>
        <v>1.4654894781191067E-3</v>
      </c>
    </row>
    <row r="955" spans="1:10" x14ac:dyDescent="0.15">
      <c r="A955" s="12" t="s">
        <v>215</v>
      </c>
      <c r="B955" s="12" t="s">
        <v>924</v>
      </c>
      <c r="C955" s="12">
        <v>75.337000000000003</v>
      </c>
      <c r="D955" s="13" t="s">
        <v>233</v>
      </c>
      <c r="E955" s="12" t="s">
        <v>742</v>
      </c>
      <c r="F955" s="13">
        <v>0.14102076830666666</v>
      </c>
      <c r="G955" s="13">
        <v>7.2999999999999995E-2</v>
      </c>
      <c r="H955" s="13">
        <v>18.137319999999999</v>
      </c>
      <c r="I955" s="12" t="s">
        <v>256</v>
      </c>
      <c r="J955" s="19">
        <f t="shared" si="33"/>
        <v>1.7318931661017222E-3</v>
      </c>
    </row>
    <row r="956" spans="1:10" x14ac:dyDescent="0.15">
      <c r="A956" s="12" t="s">
        <v>215</v>
      </c>
      <c r="B956" s="12" t="s">
        <v>924</v>
      </c>
      <c r="C956" s="12">
        <v>75.337000000000003</v>
      </c>
      <c r="D956" s="13" t="s">
        <v>234</v>
      </c>
      <c r="E956" s="12" t="s">
        <v>742</v>
      </c>
      <c r="F956" s="13">
        <v>9.8671313346666664E-2</v>
      </c>
      <c r="G956" s="13">
        <v>7.2999999999999995E-2</v>
      </c>
      <c r="H956" s="13">
        <v>18.137319999999999</v>
      </c>
      <c r="I956" s="12" t="s">
        <v>256</v>
      </c>
      <c r="J956" s="19">
        <f t="shared" si="33"/>
        <v>1.2117943713351265E-3</v>
      </c>
    </row>
    <row r="957" spans="1:10" x14ac:dyDescent="0.15">
      <c r="A957" s="12" t="s">
        <v>215</v>
      </c>
      <c r="B957" s="12" t="s">
        <v>924</v>
      </c>
      <c r="C957" s="12">
        <v>75.337000000000003</v>
      </c>
      <c r="D957" s="13" t="s">
        <v>235</v>
      </c>
      <c r="E957" s="12" t="s">
        <v>742</v>
      </c>
      <c r="F957" s="13">
        <v>0.11235565682666666</v>
      </c>
      <c r="G957" s="13">
        <v>7.2999999999999995E-2</v>
      </c>
      <c r="H957" s="13">
        <v>18.137319999999999</v>
      </c>
      <c r="I957" s="12" t="s">
        <v>256</v>
      </c>
      <c r="J957" s="19">
        <f t="shared" si="33"/>
        <v>1.3798534539807587E-3</v>
      </c>
    </row>
    <row r="958" spans="1:10" x14ac:dyDescent="0.15">
      <c r="A958" s="12" t="s">
        <v>215</v>
      </c>
      <c r="B958" s="12" t="s">
        <v>924</v>
      </c>
      <c r="C958" s="12">
        <v>75.337000000000003</v>
      </c>
      <c r="D958" s="13" t="s">
        <v>236</v>
      </c>
      <c r="E958" s="12" t="s">
        <v>742</v>
      </c>
      <c r="F958" s="13">
        <v>4.4935392800000001E-2</v>
      </c>
      <c r="G958" s="13">
        <v>6.8000000000000005E-2</v>
      </c>
      <c r="H958" s="13">
        <v>10</v>
      </c>
      <c r="I958" s="12" t="s">
        <v>256</v>
      </c>
      <c r="J958" s="19">
        <f t="shared" si="33"/>
        <v>6.1393900130534058E-4</v>
      </c>
    </row>
    <row r="959" spans="1:10" x14ac:dyDescent="0.15">
      <c r="A959" s="12" t="s">
        <v>215</v>
      </c>
      <c r="B959" s="12" t="s">
        <v>924</v>
      </c>
      <c r="C959" s="12">
        <v>75.337000000000003</v>
      </c>
      <c r="D959" s="13" t="s">
        <v>237</v>
      </c>
      <c r="E959" s="12" t="s">
        <v>742</v>
      </c>
      <c r="F959" s="13">
        <v>3.9060819093333338E-2</v>
      </c>
      <c r="G959" s="13">
        <v>5.6000000000000001E-2</v>
      </c>
      <c r="H959" s="13">
        <v>0</v>
      </c>
      <c r="I959" s="12" t="s">
        <v>256</v>
      </c>
      <c r="J959" s="19">
        <f t="shared" si="33"/>
        <v>6.5803266666666677E-4</v>
      </c>
    </row>
    <row r="960" spans="1:10" x14ac:dyDescent="0.15">
      <c r="A960" s="12" t="s">
        <v>215</v>
      </c>
      <c r="B960" s="12" t="s">
        <v>924</v>
      </c>
      <c r="C960" s="12">
        <v>75.337000000000003</v>
      </c>
      <c r="D960" s="13" t="s">
        <v>238</v>
      </c>
      <c r="E960" s="12" t="s">
        <v>742</v>
      </c>
      <c r="F960" s="13">
        <v>2.9993414440000001E-2</v>
      </c>
      <c r="G960" s="13">
        <v>3.7999999999999999E-2</v>
      </c>
      <c r="H960" s="13">
        <v>1</v>
      </c>
      <c r="I960" s="12" t="s">
        <v>256</v>
      </c>
      <c r="J960" s="19">
        <f t="shared" si="33"/>
        <v>7.4450959031043755E-4</v>
      </c>
    </row>
    <row r="961" spans="1:10" x14ac:dyDescent="0.15">
      <c r="A961" s="12" t="s">
        <v>215</v>
      </c>
      <c r="B961" s="12" t="s">
        <v>924</v>
      </c>
      <c r="C961" s="12">
        <v>75.337000000000003</v>
      </c>
      <c r="D961" s="13" t="s">
        <v>239</v>
      </c>
      <c r="E961" s="12" t="s">
        <v>742</v>
      </c>
      <c r="F961" s="13">
        <v>0.11321283522533333</v>
      </c>
      <c r="G961" s="13">
        <v>0.2278</v>
      </c>
      <c r="H961" s="13">
        <v>9.8549629999999997</v>
      </c>
      <c r="I961" s="12" t="s">
        <v>256</v>
      </c>
      <c r="J961" s="19">
        <f t="shared" si="33"/>
        <v>4.6193402596107682E-4</v>
      </c>
    </row>
    <row r="962" spans="1:10" x14ac:dyDescent="0.15">
      <c r="A962" s="12" t="s">
        <v>215</v>
      </c>
      <c r="B962" s="12" t="s">
        <v>924</v>
      </c>
      <c r="C962" s="12">
        <v>75.337000000000003</v>
      </c>
      <c r="D962" s="13" t="s">
        <v>240</v>
      </c>
      <c r="E962" s="12" t="s">
        <v>742</v>
      </c>
      <c r="F962" s="13">
        <v>0.19230808072666666</v>
      </c>
      <c r="G962" s="13">
        <v>0.1066</v>
      </c>
      <c r="H962" s="13">
        <v>16.037890000000001</v>
      </c>
      <c r="I962" s="12" t="s">
        <v>256</v>
      </c>
      <c r="J962" s="19">
        <f t="shared" si="33"/>
        <v>1.6356623013471065E-3</v>
      </c>
    </row>
    <row r="963" spans="1:10" x14ac:dyDescent="0.15">
      <c r="A963" s="12" t="s">
        <v>215</v>
      </c>
      <c r="B963" s="12" t="s">
        <v>924</v>
      </c>
      <c r="C963" s="12">
        <v>75.337000000000003</v>
      </c>
      <c r="D963" s="13" t="s">
        <v>243</v>
      </c>
      <c r="E963" s="12" t="s">
        <v>742</v>
      </c>
      <c r="F963" s="13">
        <v>4.7301540346666671E-2</v>
      </c>
      <c r="G963" s="13">
        <v>2.5999999999999999E-2</v>
      </c>
      <c r="H963" s="13">
        <v>10</v>
      </c>
      <c r="I963" s="12" t="s">
        <v>256</v>
      </c>
      <c r="J963" s="19">
        <f t="shared" si="33"/>
        <v>1.6902367076493871E-3</v>
      </c>
    </row>
    <row r="964" spans="1:10" x14ac:dyDescent="0.15">
      <c r="A964" s="12" t="s">
        <v>215</v>
      </c>
      <c r="B964" s="12" t="s">
        <v>924</v>
      </c>
      <c r="C964" s="12">
        <v>75.337000000000003</v>
      </c>
      <c r="D964" s="13" t="s">
        <v>244</v>
      </c>
      <c r="E964" s="12" t="s">
        <v>742</v>
      </c>
      <c r="F964" s="13">
        <v>0.29466546807133337</v>
      </c>
      <c r="G964" s="13">
        <v>0.1169</v>
      </c>
      <c r="H964" s="13">
        <v>12.34868</v>
      </c>
      <c r="I964" s="12" t="s">
        <v>256</v>
      </c>
      <c r="J964" s="19">
        <f t="shared" si="33"/>
        <v>2.3229671730160321E-3</v>
      </c>
    </row>
    <row r="965" spans="1:10" x14ac:dyDescent="0.15">
      <c r="A965" s="12" t="s">
        <v>215</v>
      </c>
      <c r="B965" s="12" t="s">
        <v>924</v>
      </c>
      <c r="C965" s="12">
        <v>75.337000000000003</v>
      </c>
      <c r="D965" s="13" t="s">
        <v>245</v>
      </c>
      <c r="E965" s="12" t="s">
        <v>742</v>
      </c>
      <c r="F965" s="13">
        <v>0.29389041659999993</v>
      </c>
      <c r="G965" s="13">
        <v>7.5899999999999995E-2</v>
      </c>
      <c r="H965" s="13">
        <v>12.43404</v>
      </c>
      <c r="I965" s="12" t="s">
        <v>256</v>
      </c>
      <c r="J965" s="19">
        <f t="shared" si="33"/>
        <v>3.5672195120056227E-3</v>
      </c>
    </row>
    <row r="966" spans="1:10" x14ac:dyDescent="0.15">
      <c r="A966" s="12" t="s">
        <v>215</v>
      </c>
      <c r="B966" s="12" t="s">
        <v>924</v>
      </c>
      <c r="C966" s="12">
        <v>75.337000000000003</v>
      </c>
      <c r="D966" s="13" t="s">
        <v>246</v>
      </c>
      <c r="E966" s="12" t="s">
        <v>742</v>
      </c>
      <c r="F966" s="13">
        <v>0.17757388462666665</v>
      </c>
      <c r="G966" s="13">
        <v>0.40300000000000002</v>
      </c>
      <c r="H966" s="13">
        <v>1.497449</v>
      </c>
      <c r="I966" s="12" t="s">
        <v>256</v>
      </c>
      <c r="J966" s="19">
        <f t="shared" si="33"/>
        <v>4.1554670460985786E-4</v>
      </c>
    </row>
    <row r="967" spans="1:10" x14ac:dyDescent="0.15">
      <c r="A967" s="12" t="s">
        <v>215</v>
      </c>
      <c r="B967" s="12" t="s">
        <v>924</v>
      </c>
      <c r="C967" s="12">
        <v>75.337000000000003</v>
      </c>
      <c r="D967" s="13" t="s">
        <v>247</v>
      </c>
      <c r="E967" s="12" t="s">
        <v>742</v>
      </c>
      <c r="F967" s="13">
        <v>0.26830019340000005</v>
      </c>
      <c r="G967" s="13">
        <v>6.9000000000000006E-2</v>
      </c>
      <c r="H967" s="13">
        <v>14.5853</v>
      </c>
      <c r="I967" s="12" t="s">
        <v>256</v>
      </c>
      <c r="J967" s="19">
        <f t="shared" si="33"/>
        <v>3.550094346440305E-3</v>
      </c>
    </row>
    <row r="968" spans="1:10" x14ac:dyDescent="0.15">
      <c r="A968" s="12" t="s">
        <v>215</v>
      </c>
      <c r="B968" s="12" t="s">
        <v>924</v>
      </c>
      <c r="C968" s="12">
        <v>75.337000000000003</v>
      </c>
      <c r="D968" s="13" t="s">
        <v>248</v>
      </c>
      <c r="E968" s="12" t="s">
        <v>742</v>
      </c>
      <c r="F968" s="13">
        <v>0.20161188516666664</v>
      </c>
      <c r="G968" s="13">
        <v>0.193</v>
      </c>
      <c r="H968" s="13">
        <v>13.825189999999999</v>
      </c>
      <c r="I968" s="12" t="s">
        <v>256</v>
      </c>
      <c r="J968" s="19">
        <f t="shared" si="33"/>
        <v>9.5694129821391591E-4</v>
      </c>
    </row>
    <row r="969" spans="1:10" x14ac:dyDescent="0.15">
      <c r="A969" s="12" t="s">
        <v>215</v>
      </c>
      <c r="B969" s="12" t="s">
        <v>924</v>
      </c>
      <c r="C969" s="12">
        <v>75.337000000000003</v>
      </c>
      <c r="D969" s="13" t="s">
        <v>253</v>
      </c>
      <c r="E969" s="12" t="s">
        <v>742</v>
      </c>
      <c r="F969" s="13">
        <v>0.29776797005799999</v>
      </c>
      <c r="G969" s="13">
        <v>9.9299999999999999E-2</v>
      </c>
      <c r="H969" s="13">
        <v>3.615348</v>
      </c>
      <c r="I969" s="12" t="s">
        <v>256</v>
      </c>
      <c r="J969" s="19">
        <f t="shared" si="33"/>
        <v>2.8233043939659705E-3</v>
      </c>
    </row>
    <row r="970" spans="1:10" x14ac:dyDescent="0.15">
      <c r="A970" s="12" t="s">
        <v>215</v>
      </c>
      <c r="B970" s="12" t="s">
        <v>924</v>
      </c>
      <c r="C970" s="12">
        <v>75.337000000000003</v>
      </c>
      <c r="D970" s="13" t="s">
        <v>254</v>
      </c>
      <c r="E970" s="12" t="s">
        <v>742</v>
      </c>
      <c r="F970" s="13">
        <v>0.90415798592000007</v>
      </c>
      <c r="G970" s="13">
        <v>9.9400000000000002E-2</v>
      </c>
      <c r="H970" s="13">
        <v>14.48823</v>
      </c>
      <c r="I970" s="12" t="s">
        <v>256</v>
      </c>
      <c r="J970" s="19">
        <f t="shared" si="33"/>
        <v>8.308387180904259E-3</v>
      </c>
    </row>
    <row r="971" spans="1:10" x14ac:dyDescent="0.15">
      <c r="A971" s="12" t="s">
        <v>215</v>
      </c>
      <c r="B971" s="12" t="s">
        <v>924</v>
      </c>
      <c r="C971" s="12">
        <v>75.337000000000003</v>
      </c>
      <c r="D971" s="13" t="s">
        <v>255</v>
      </c>
      <c r="E971" s="12" t="s">
        <v>742</v>
      </c>
      <c r="F971" s="13">
        <v>0.46991419962666664</v>
      </c>
      <c r="G971" s="13">
        <v>9.6799999999999997E-2</v>
      </c>
      <c r="H971" s="13">
        <v>24.191569999999999</v>
      </c>
      <c r="I971" s="12" t="s">
        <v>256</v>
      </c>
      <c r="J971" s="19">
        <f t="shared" si="33"/>
        <v>4.1775157045351305E-3</v>
      </c>
    </row>
    <row r="972" spans="1:10" x14ac:dyDescent="0.15">
      <c r="A972" s="12" t="s">
        <v>215</v>
      </c>
      <c r="B972" s="12" t="s">
        <v>924</v>
      </c>
      <c r="C972" s="12">
        <v>75.337000000000003</v>
      </c>
      <c r="D972" s="13" t="s">
        <v>224</v>
      </c>
      <c r="E972" s="12" t="s">
        <v>743</v>
      </c>
      <c r="F972" s="13">
        <v>7.3886284625999998E-2</v>
      </c>
      <c r="G972" s="13">
        <v>6.93E-2</v>
      </c>
      <c r="H972" s="13">
        <v>12.505280000000001</v>
      </c>
      <c r="I972" s="12" t="s">
        <v>256</v>
      </c>
      <c r="J972" s="19">
        <f t="shared" si="32"/>
        <v>9.8196807217111842E-4</v>
      </c>
    </row>
    <row r="973" spans="1:10" x14ac:dyDescent="0.15">
      <c r="A973" s="12" t="s">
        <v>215</v>
      </c>
      <c r="B973" s="12" t="s">
        <v>924</v>
      </c>
      <c r="C973" s="12">
        <v>75.337000000000003</v>
      </c>
      <c r="D973" s="13" t="s">
        <v>225</v>
      </c>
      <c r="E973" s="12" t="s">
        <v>743</v>
      </c>
      <c r="F973" s="13">
        <v>3.7776450447999994E-2</v>
      </c>
      <c r="G973" s="13">
        <v>7.4800000000000005E-2</v>
      </c>
      <c r="H973" s="13">
        <v>11.302630000000001</v>
      </c>
      <c r="I973" s="12" t="s">
        <v>256</v>
      </c>
      <c r="J973" s="19">
        <f t="shared" si="32"/>
        <v>4.6720564579107366E-4</v>
      </c>
    </row>
    <row r="974" spans="1:10" x14ac:dyDescent="0.15">
      <c r="A974" s="12" t="s">
        <v>215</v>
      </c>
      <c r="B974" s="12" t="s">
        <v>924</v>
      </c>
      <c r="C974" s="12">
        <v>75.337000000000003</v>
      </c>
      <c r="D974" s="13" t="s">
        <v>226</v>
      </c>
      <c r="E974" s="12" t="s">
        <v>743</v>
      </c>
      <c r="F974" s="13">
        <v>3.3343526419999998E-2</v>
      </c>
      <c r="G974" s="13">
        <v>4.4600000000000001E-2</v>
      </c>
      <c r="H974" s="13">
        <v>12.88233</v>
      </c>
      <c r="I974" s="12" t="s">
        <v>256</v>
      </c>
      <c r="J974" s="19">
        <f t="shared" si="32"/>
        <v>6.875427235094188E-4</v>
      </c>
    </row>
    <row r="975" spans="1:10" x14ac:dyDescent="0.15">
      <c r="A975" s="12" t="s">
        <v>215</v>
      </c>
      <c r="B975" s="12" t="s">
        <v>924</v>
      </c>
      <c r="C975" s="12">
        <v>75.337000000000003</v>
      </c>
      <c r="D975" s="13" t="s">
        <v>227</v>
      </c>
      <c r="E975" s="12" t="s">
        <v>743</v>
      </c>
      <c r="F975" s="13">
        <v>8.4522874271333329E-2</v>
      </c>
      <c r="G975" s="13">
        <v>5.2699999999999997E-2</v>
      </c>
      <c r="H975" s="13">
        <v>14.783770000000001</v>
      </c>
      <c r="I975" s="12" t="s">
        <v>256</v>
      </c>
      <c r="J975" s="19">
        <f t="shared" si="32"/>
        <v>1.4629767007652622E-3</v>
      </c>
    </row>
    <row r="976" spans="1:10" x14ac:dyDescent="0.15">
      <c r="A976" s="12" t="s">
        <v>215</v>
      </c>
      <c r="B976" s="12" t="s">
        <v>924</v>
      </c>
      <c r="C976" s="12">
        <v>75.337000000000003</v>
      </c>
      <c r="D976" s="13" t="s">
        <v>228</v>
      </c>
      <c r="E976" s="12" t="s">
        <v>743</v>
      </c>
      <c r="F976" s="13">
        <v>0.16361712891999999</v>
      </c>
      <c r="G976" s="13">
        <v>5.8799999999999998E-2</v>
      </c>
      <c r="H976" s="13">
        <v>12.045109999999999</v>
      </c>
      <c r="I976" s="12" t="s">
        <v>256</v>
      </c>
      <c r="J976" s="19">
        <f t="shared" si="32"/>
        <v>2.567303131425691E-3</v>
      </c>
    </row>
    <row r="977" spans="1:10" x14ac:dyDescent="0.15">
      <c r="A977" s="12" t="s">
        <v>215</v>
      </c>
      <c r="B977" s="12" t="s">
        <v>924</v>
      </c>
      <c r="C977" s="12">
        <v>75.337000000000003</v>
      </c>
      <c r="D977" s="13" t="s">
        <v>229</v>
      </c>
      <c r="E977" s="12" t="s">
        <v>743</v>
      </c>
      <c r="F977" s="13">
        <v>0.28070781140000001</v>
      </c>
      <c r="G977" s="13">
        <v>5.0999999999999997E-2</v>
      </c>
      <c r="H977" s="13">
        <v>9.4928539999999995</v>
      </c>
      <c r="I977" s="12" t="s">
        <v>256</v>
      </c>
      <c r="J977" s="19">
        <f t="shared" si="32"/>
        <v>5.1214178472625046E-3</v>
      </c>
    </row>
    <row r="978" spans="1:10" x14ac:dyDescent="0.15">
      <c r="A978" s="12" t="s">
        <v>215</v>
      </c>
      <c r="B978" s="12" t="s">
        <v>924</v>
      </c>
      <c r="C978" s="12">
        <v>75.337000000000003</v>
      </c>
      <c r="D978" s="13" t="s">
        <v>241</v>
      </c>
      <c r="E978" s="12" t="s">
        <v>743</v>
      </c>
      <c r="F978" s="13">
        <v>4.1803842997333335E-2</v>
      </c>
      <c r="G978" s="13">
        <v>4.5400000000000003E-2</v>
      </c>
      <c r="H978" s="13">
        <v>11.75916</v>
      </c>
      <c r="I978" s="12" t="s">
        <v>256</v>
      </c>
      <c r="J978" s="19">
        <f t="shared" si="32"/>
        <v>8.5043848605731204E-4</v>
      </c>
    </row>
    <row r="979" spans="1:10" x14ac:dyDescent="0.15">
      <c r="A979" s="12" t="s">
        <v>215</v>
      </c>
      <c r="B979" s="12" t="s">
        <v>924</v>
      </c>
      <c r="C979" s="12">
        <v>75.337000000000003</v>
      </c>
      <c r="D979" s="13" t="s">
        <v>242</v>
      </c>
      <c r="E979" s="12" t="s">
        <v>743</v>
      </c>
      <c r="F979" s="13">
        <v>0.10010086524533332</v>
      </c>
      <c r="G979" s="13">
        <v>5.0799999999999998E-2</v>
      </c>
      <c r="H979" s="13">
        <v>14.206630000000001</v>
      </c>
      <c r="I979" s="12" t="s">
        <v>256</v>
      </c>
      <c r="J979" s="19">
        <f t="shared" si="32"/>
        <v>1.8020999152658413E-3</v>
      </c>
    </row>
    <row r="980" spans="1:10" x14ac:dyDescent="0.15">
      <c r="A980" s="12" t="s">
        <v>215</v>
      </c>
      <c r="B980" s="12" t="s">
        <v>924</v>
      </c>
      <c r="C980" s="12">
        <v>75.337000000000003</v>
      </c>
      <c r="D980" s="13" t="s">
        <v>249</v>
      </c>
      <c r="E980" s="12" t="s">
        <v>743</v>
      </c>
      <c r="F980" s="13">
        <v>0.4815457181333333</v>
      </c>
      <c r="G980" s="13">
        <v>4.3999999999999997E-2</v>
      </c>
      <c r="H980" s="13">
        <v>21.85427</v>
      </c>
      <c r="I980" s="12" t="s">
        <v>256</v>
      </c>
      <c r="J980" s="19">
        <f t="shared" ref="J980:J1058" si="34">F980*COS(RADIANS(H980))/(1060*G980)</f>
        <v>9.5827355737725366E-3</v>
      </c>
    </row>
    <row r="981" spans="1:10" x14ac:dyDescent="0.15">
      <c r="A981" s="12" t="s">
        <v>215</v>
      </c>
      <c r="B981" s="12" t="s">
        <v>924</v>
      </c>
      <c r="C981" s="12">
        <v>75.337000000000003</v>
      </c>
      <c r="D981" s="13" t="s">
        <v>250</v>
      </c>
      <c r="E981" s="12" t="s">
        <v>743</v>
      </c>
      <c r="F981" s="13">
        <v>6.9014174366666667E-2</v>
      </c>
      <c r="G981" s="13">
        <v>9.5000000000000001E-2</v>
      </c>
      <c r="H981" s="13">
        <v>3</v>
      </c>
      <c r="I981" s="12" t="s">
        <v>256</v>
      </c>
      <c r="J981" s="19">
        <f t="shared" si="34"/>
        <v>6.8440509274335024E-4</v>
      </c>
    </row>
    <row r="982" spans="1:10" x14ac:dyDescent="0.15">
      <c r="A982" s="12" t="s">
        <v>215</v>
      </c>
      <c r="B982" s="12" t="s">
        <v>924</v>
      </c>
      <c r="C982" s="12">
        <v>75.337000000000003</v>
      </c>
      <c r="D982" s="13" t="s">
        <v>251</v>
      </c>
      <c r="E982" s="12" t="s">
        <v>743</v>
      </c>
      <c r="F982" s="13">
        <v>0.148108498092</v>
      </c>
      <c r="G982" s="13">
        <v>6.83E-2</v>
      </c>
      <c r="H982" s="13">
        <v>11.183149999999999</v>
      </c>
      <c r="I982" s="12" t="s">
        <v>256</v>
      </c>
      <c r="J982" s="19">
        <f t="shared" si="34"/>
        <v>2.0069097036280741E-3</v>
      </c>
    </row>
    <row r="983" spans="1:10" x14ac:dyDescent="0.15">
      <c r="A983" s="12" t="s">
        <v>215</v>
      </c>
      <c r="B983" s="12" t="s">
        <v>924</v>
      </c>
      <c r="C983" s="12">
        <v>75.337000000000003</v>
      </c>
      <c r="D983" s="13" t="s">
        <v>252</v>
      </c>
      <c r="E983" s="12" t="s">
        <v>743</v>
      </c>
      <c r="F983" s="13">
        <v>0.11553968412</v>
      </c>
      <c r="G983" s="13">
        <v>3.78E-2</v>
      </c>
      <c r="H983" s="13">
        <v>12.97687</v>
      </c>
      <c r="I983" s="12" t="s">
        <v>256</v>
      </c>
      <c r="J983" s="19">
        <f t="shared" si="34"/>
        <v>2.8099454094050371E-3</v>
      </c>
    </row>
    <row r="984" spans="1:10" x14ac:dyDescent="0.15">
      <c r="A984" s="25" t="s">
        <v>812</v>
      </c>
      <c r="B984" s="25" t="s">
        <v>925</v>
      </c>
      <c r="C984" s="25">
        <v>54.7</v>
      </c>
      <c r="D984" s="24" t="s">
        <v>121</v>
      </c>
      <c r="E984" s="25" t="s">
        <v>742</v>
      </c>
      <c r="F984" s="24">
        <v>5.3E-3</v>
      </c>
      <c r="G984" s="24">
        <v>9.6000000000000002E-2</v>
      </c>
      <c r="H984" s="24">
        <v>0</v>
      </c>
      <c r="I984" s="25" t="s">
        <v>811</v>
      </c>
      <c r="J984" s="19">
        <f t="shared" si="34"/>
        <v>5.208333333333333E-5</v>
      </c>
    </row>
    <row r="985" spans="1:10" x14ac:dyDescent="0.15">
      <c r="A985" s="25" t="s">
        <v>812</v>
      </c>
      <c r="B985" s="25" t="s">
        <v>925</v>
      </c>
      <c r="C985" s="25">
        <v>54.7</v>
      </c>
      <c r="D985" s="24" t="s">
        <v>101</v>
      </c>
      <c r="E985" s="25" t="s">
        <v>742</v>
      </c>
      <c r="F985" s="24">
        <v>3.39E-2</v>
      </c>
      <c r="G985" s="24">
        <v>0.3</v>
      </c>
      <c r="H985" s="24">
        <v>0</v>
      </c>
      <c r="I985" s="25" t="s">
        <v>811</v>
      </c>
      <c r="J985" s="19">
        <f t="shared" si="34"/>
        <v>1.0660377358490566E-4</v>
      </c>
    </row>
    <row r="986" spans="1:10" x14ac:dyDescent="0.15">
      <c r="A986" s="25" t="s">
        <v>812</v>
      </c>
      <c r="B986" s="25" t="s">
        <v>925</v>
      </c>
      <c r="C986" s="25">
        <v>54.7</v>
      </c>
      <c r="D986" s="24" t="s">
        <v>102</v>
      </c>
      <c r="E986" s="25" t="s">
        <v>742</v>
      </c>
      <c r="F986" s="24">
        <v>0.11650000000000001</v>
      </c>
      <c r="G986" s="24">
        <v>6.3E-2</v>
      </c>
      <c r="H986" s="24">
        <v>10</v>
      </c>
      <c r="I986" s="25" t="s">
        <v>811</v>
      </c>
      <c r="J986" s="19">
        <f t="shared" si="34"/>
        <v>1.7180308958658617E-3</v>
      </c>
    </row>
    <row r="987" spans="1:10" x14ac:dyDescent="0.15">
      <c r="A987" s="25" t="s">
        <v>812</v>
      </c>
      <c r="B987" s="25" t="s">
        <v>925</v>
      </c>
      <c r="C987" s="25">
        <v>54.7</v>
      </c>
      <c r="D987" s="24" t="s">
        <v>105</v>
      </c>
      <c r="E987" s="25" t="s">
        <v>742</v>
      </c>
      <c r="F987" s="24">
        <v>5.3399999999999996E-2</v>
      </c>
      <c r="G987" s="24">
        <v>7.2999999999999995E-2</v>
      </c>
      <c r="H987" s="24">
        <v>10</v>
      </c>
      <c r="I987" s="25" t="s">
        <v>811</v>
      </c>
      <c r="J987" s="19">
        <f t="shared" si="34"/>
        <v>6.7961661942170985E-4</v>
      </c>
    </row>
    <row r="988" spans="1:10" x14ac:dyDescent="0.15">
      <c r="A988" s="25" t="s">
        <v>812</v>
      </c>
      <c r="B988" s="25" t="s">
        <v>925</v>
      </c>
      <c r="C988" s="25">
        <v>54.7</v>
      </c>
      <c r="D988" s="24" t="s">
        <v>103</v>
      </c>
      <c r="E988" s="25" t="s">
        <v>742</v>
      </c>
      <c r="F988" s="24">
        <v>7.3599999999999999E-2</v>
      </c>
      <c r="G988" s="24">
        <v>5.3999999999999999E-2</v>
      </c>
      <c r="H988" s="24">
        <v>15</v>
      </c>
      <c r="I988" s="25" t="s">
        <v>811</v>
      </c>
      <c r="J988" s="19">
        <f t="shared" si="34"/>
        <v>1.2420010624541479E-3</v>
      </c>
    </row>
    <row r="989" spans="1:10" x14ac:dyDescent="0.15">
      <c r="A989" s="25" t="s">
        <v>812</v>
      </c>
      <c r="B989" s="25" t="s">
        <v>925</v>
      </c>
      <c r="C989" s="25">
        <v>54.7</v>
      </c>
      <c r="D989" s="24" t="s">
        <v>104</v>
      </c>
      <c r="E989" s="25" t="s">
        <v>742</v>
      </c>
      <c r="F989" s="24">
        <v>0.11040000000000001</v>
      </c>
      <c r="G989" s="24">
        <v>6.3E-2</v>
      </c>
      <c r="H989" s="24">
        <v>0</v>
      </c>
      <c r="I989" s="25" t="s">
        <v>811</v>
      </c>
      <c r="J989" s="19">
        <f t="shared" si="34"/>
        <v>1.6531895777178798E-3</v>
      </c>
    </row>
    <row r="990" spans="1:10" x14ac:dyDescent="0.15">
      <c r="A990" s="25" t="s">
        <v>812</v>
      </c>
      <c r="B990" s="25" t="s">
        <v>925</v>
      </c>
      <c r="C990" s="25">
        <v>54.7</v>
      </c>
      <c r="D990" s="24" t="s">
        <v>116</v>
      </c>
      <c r="E990" s="25" t="s">
        <v>742</v>
      </c>
      <c r="F990" s="24">
        <v>0.15190000000000001</v>
      </c>
      <c r="G990" s="24">
        <v>0.107</v>
      </c>
      <c r="H990" s="24">
        <v>0</v>
      </c>
      <c r="I990" s="25" t="s">
        <v>811</v>
      </c>
      <c r="J990" s="19">
        <f t="shared" si="34"/>
        <v>1.3392699700229237E-3</v>
      </c>
    </row>
    <row r="991" spans="1:10" x14ac:dyDescent="0.15">
      <c r="A991" s="25" t="s">
        <v>812</v>
      </c>
      <c r="B991" s="25" t="s">
        <v>925</v>
      </c>
      <c r="C991" s="25">
        <v>54.7</v>
      </c>
      <c r="D991" s="24" t="s">
        <v>184</v>
      </c>
      <c r="E991" s="25" t="s">
        <v>742</v>
      </c>
      <c r="F991" s="24">
        <v>1.01E-2</v>
      </c>
      <c r="G991" s="24">
        <v>7.6999999999999999E-2</v>
      </c>
      <c r="H991" s="24">
        <v>0</v>
      </c>
      <c r="I991" s="25" t="s">
        <v>811</v>
      </c>
      <c r="J991" s="19">
        <f t="shared" si="34"/>
        <v>1.2374418034795392E-4</v>
      </c>
    </row>
    <row r="992" spans="1:10" x14ac:dyDescent="0.15">
      <c r="A992" s="25" t="s">
        <v>812</v>
      </c>
      <c r="B992" s="25" t="s">
        <v>925</v>
      </c>
      <c r="C992" s="25">
        <v>54.7</v>
      </c>
      <c r="D992" s="24" t="s">
        <v>100</v>
      </c>
      <c r="E992" s="25" t="s">
        <v>742</v>
      </c>
      <c r="F992" s="24">
        <v>7.0199999999999999E-2</v>
      </c>
      <c r="G992" s="24">
        <v>0.249</v>
      </c>
      <c r="H992" s="24">
        <v>0</v>
      </c>
      <c r="I992" s="25" t="s">
        <v>811</v>
      </c>
      <c r="J992" s="19">
        <f t="shared" si="34"/>
        <v>2.6596953853148445E-4</v>
      </c>
    </row>
    <row r="993" spans="1:10" x14ac:dyDescent="0.15">
      <c r="A993" s="25" t="s">
        <v>812</v>
      </c>
      <c r="B993" s="25" t="s">
        <v>925</v>
      </c>
      <c r="C993" s="25">
        <v>54.7</v>
      </c>
      <c r="D993" s="24" t="s">
        <v>813</v>
      </c>
      <c r="E993" s="25" t="s">
        <v>742</v>
      </c>
      <c r="F993" s="24">
        <v>0.1358</v>
      </c>
      <c r="G993" s="24">
        <v>0.121</v>
      </c>
      <c r="H993" s="24">
        <v>0</v>
      </c>
      <c r="I993" s="25" t="s">
        <v>811</v>
      </c>
      <c r="J993" s="19">
        <f t="shared" si="34"/>
        <v>1.0587868392328084E-3</v>
      </c>
    </row>
    <row r="994" spans="1:10" x14ac:dyDescent="0.15">
      <c r="A994" s="25" t="s">
        <v>812</v>
      </c>
      <c r="B994" s="25" t="s">
        <v>925</v>
      </c>
      <c r="C994" s="25">
        <v>54.7</v>
      </c>
      <c r="D994" s="24" t="s">
        <v>814</v>
      </c>
      <c r="E994" s="25" t="s">
        <v>742</v>
      </c>
      <c r="F994" s="24">
        <v>0.19390000000000002</v>
      </c>
      <c r="G994" s="24">
        <v>0.13900000000000001</v>
      </c>
      <c r="H994" s="24">
        <v>0</v>
      </c>
      <c r="I994" s="25" t="s">
        <v>811</v>
      </c>
      <c r="J994" s="19">
        <f t="shared" si="34"/>
        <v>1.3160038007329986E-3</v>
      </c>
    </row>
    <row r="995" spans="1:10" x14ac:dyDescent="0.15">
      <c r="A995" s="25" t="s">
        <v>812</v>
      </c>
      <c r="B995" s="25" t="s">
        <v>925</v>
      </c>
      <c r="C995" s="25">
        <v>54.7</v>
      </c>
      <c r="D995" s="24" t="s">
        <v>135</v>
      </c>
      <c r="E995" s="25" t="s">
        <v>742</v>
      </c>
      <c r="F995" s="24">
        <v>2.8899999999999999E-2</v>
      </c>
      <c r="G995" s="24">
        <v>0.107</v>
      </c>
      <c r="H995" s="24">
        <v>0</v>
      </c>
      <c r="I995" s="25" t="s">
        <v>811</v>
      </c>
      <c r="J995" s="19">
        <f t="shared" si="34"/>
        <v>2.5480514900370302E-4</v>
      </c>
    </row>
    <row r="996" spans="1:10" x14ac:dyDescent="0.15">
      <c r="A996" s="25" t="s">
        <v>812</v>
      </c>
      <c r="B996" s="25" t="s">
        <v>925</v>
      </c>
      <c r="C996" s="25">
        <v>54.7</v>
      </c>
      <c r="D996" s="24" t="s">
        <v>113</v>
      </c>
      <c r="E996" s="25" t="s">
        <v>742</v>
      </c>
      <c r="F996" s="24">
        <v>2.1100000000000001E-2</v>
      </c>
      <c r="G996" s="24">
        <v>8.4000000000000005E-2</v>
      </c>
      <c r="H996" s="24">
        <v>0</v>
      </c>
      <c r="I996" s="25" t="s">
        <v>811</v>
      </c>
      <c r="J996" s="19">
        <f t="shared" si="34"/>
        <v>2.3697214734950584E-4</v>
      </c>
    </row>
    <row r="997" spans="1:10" x14ac:dyDescent="0.15">
      <c r="A997" s="25" t="s">
        <v>812</v>
      </c>
      <c r="B997" s="25" t="s">
        <v>925</v>
      </c>
      <c r="C997" s="25">
        <v>54.7</v>
      </c>
      <c r="D997" s="24" t="s">
        <v>98</v>
      </c>
      <c r="E997" s="25" t="s">
        <v>742</v>
      </c>
      <c r="F997" s="24">
        <v>4.8100000000000004E-2</v>
      </c>
      <c r="G997" s="24">
        <v>6.3E-2</v>
      </c>
      <c r="H997" s="24">
        <v>20</v>
      </c>
      <c r="I997" s="25" t="s">
        <v>811</v>
      </c>
      <c r="J997" s="19">
        <f t="shared" si="34"/>
        <v>6.7683760197367773E-4</v>
      </c>
    </row>
    <row r="998" spans="1:10" x14ac:dyDescent="0.15">
      <c r="A998" s="25" t="s">
        <v>812</v>
      </c>
      <c r="B998" s="25" t="s">
        <v>925</v>
      </c>
      <c r="C998" s="25">
        <v>54.7</v>
      </c>
      <c r="D998" s="24" t="s">
        <v>126</v>
      </c>
      <c r="E998" s="25" t="s">
        <v>742</v>
      </c>
      <c r="F998" s="24">
        <v>6.4299999999999996E-2</v>
      </c>
      <c r="G998" s="24">
        <v>8.5999999999999993E-2</v>
      </c>
      <c r="H998" s="24">
        <v>0</v>
      </c>
      <c r="I998" s="25" t="s">
        <v>811</v>
      </c>
      <c r="J998" s="19">
        <f t="shared" si="34"/>
        <v>7.0535322509872745E-4</v>
      </c>
    </row>
    <row r="999" spans="1:10" x14ac:dyDescent="0.15">
      <c r="A999" s="25" t="s">
        <v>812</v>
      </c>
      <c r="B999" s="25" t="s">
        <v>925</v>
      </c>
      <c r="C999" s="25">
        <v>54.7</v>
      </c>
      <c r="D999" s="24" t="s">
        <v>815</v>
      </c>
      <c r="E999" s="25" t="s">
        <v>742</v>
      </c>
      <c r="F999" s="24">
        <v>4.9000000000000002E-2</v>
      </c>
      <c r="G999" s="24">
        <v>4.9000000000000002E-2</v>
      </c>
      <c r="H999" s="24">
        <v>0</v>
      </c>
      <c r="I999" s="25" t="s">
        <v>811</v>
      </c>
      <c r="J999" s="19">
        <f t="shared" si="34"/>
        <v>9.4339622641509424E-4</v>
      </c>
    </row>
    <row r="1000" spans="1:10" x14ac:dyDescent="0.15">
      <c r="A1000" s="25" t="s">
        <v>812</v>
      </c>
      <c r="B1000" s="25" t="s">
        <v>925</v>
      </c>
      <c r="C1000" s="25">
        <v>54.7</v>
      </c>
      <c r="D1000" s="24" t="s">
        <v>816</v>
      </c>
      <c r="E1000" s="25" t="s">
        <v>742</v>
      </c>
      <c r="F1000" s="24">
        <v>2.81E-2</v>
      </c>
      <c r="G1000" s="24">
        <v>7.3999999999999996E-2</v>
      </c>
      <c r="H1000" s="24">
        <v>0</v>
      </c>
      <c r="I1000" s="25" t="s">
        <v>811</v>
      </c>
      <c r="J1000" s="19">
        <f t="shared" si="34"/>
        <v>3.5823559408465071E-4</v>
      </c>
    </row>
    <row r="1001" spans="1:10" x14ac:dyDescent="0.15">
      <c r="A1001" s="25" t="s">
        <v>812</v>
      </c>
      <c r="B1001" s="25" t="s">
        <v>925</v>
      </c>
      <c r="C1001" s="25">
        <v>54.7</v>
      </c>
      <c r="D1001" s="24" t="s">
        <v>133</v>
      </c>
      <c r="E1001" s="25" t="s">
        <v>742</v>
      </c>
      <c r="F1001" s="24">
        <v>0.21290000000000001</v>
      </c>
      <c r="G1001" s="24">
        <v>4.9000000000000002E-2</v>
      </c>
      <c r="H1001" s="24">
        <v>0</v>
      </c>
      <c r="I1001" s="25" t="s">
        <v>811</v>
      </c>
      <c r="J1001" s="19">
        <f t="shared" si="34"/>
        <v>4.098960338852522E-3</v>
      </c>
    </row>
    <row r="1002" spans="1:10" x14ac:dyDescent="0.15">
      <c r="A1002" s="25" t="s">
        <v>812</v>
      </c>
      <c r="B1002" s="25" t="s">
        <v>925</v>
      </c>
      <c r="C1002" s="25">
        <v>54.7</v>
      </c>
      <c r="D1002" s="24" t="s">
        <v>115</v>
      </c>
      <c r="E1002" s="25" t="s">
        <v>742</v>
      </c>
      <c r="F1002" s="24">
        <v>0.20599999999999999</v>
      </c>
      <c r="G1002" s="24">
        <v>0.05</v>
      </c>
      <c r="H1002" s="24">
        <v>25</v>
      </c>
      <c r="I1002" s="25" t="s">
        <v>811</v>
      </c>
      <c r="J1002" s="19">
        <f t="shared" si="34"/>
        <v>3.5226302665952807E-3</v>
      </c>
    </row>
    <row r="1003" spans="1:10" x14ac:dyDescent="0.15">
      <c r="A1003" s="25" t="s">
        <v>812</v>
      </c>
      <c r="B1003" s="25" t="s">
        <v>925</v>
      </c>
      <c r="C1003" s="25">
        <v>54.7</v>
      </c>
      <c r="D1003" s="24" t="s">
        <v>687</v>
      </c>
      <c r="E1003" s="25" t="s">
        <v>742</v>
      </c>
      <c r="F1003" s="24">
        <v>1.5099999999999999E-2</v>
      </c>
      <c r="G1003" s="24">
        <v>4.5999999999999999E-2</v>
      </c>
      <c r="H1003" s="24">
        <v>0</v>
      </c>
      <c r="I1003" s="25" t="s">
        <v>811</v>
      </c>
      <c r="J1003" s="19">
        <f t="shared" si="34"/>
        <v>3.0968006562756355E-4</v>
      </c>
    </row>
    <row r="1004" spans="1:10" x14ac:dyDescent="0.15">
      <c r="A1004" s="25" t="s">
        <v>812</v>
      </c>
      <c r="B1004" s="25" t="s">
        <v>925</v>
      </c>
      <c r="C1004" s="25">
        <v>54.7</v>
      </c>
      <c r="D1004" s="24" t="s">
        <v>817</v>
      </c>
      <c r="E1004" s="25" t="s">
        <v>742</v>
      </c>
      <c r="F1004" s="24">
        <v>1.2699999999999999E-2</v>
      </c>
      <c r="G1004" s="24">
        <v>3.3000000000000002E-2</v>
      </c>
      <c r="H1004" s="24">
        <v>30</v>
      </c>
      <c r="I1004" s="25" t="s">
        <v>811</v>
      </c>
      <c r="J1004" s="19">
        <f t="shared" si="34"/>
        <v>3.1442317404409292E-4</v>
      </c>
    </row>
    <row r="1005" spans="1:10" x14ac:dyDescent="0.15">
      <c r="A1005" s="25" t="s">
        <v>812</v>
      </c>
      <c r="B1005" s="25" t="s">
        <v>925</v>
      </c>
      <c r="C1005" s="25">
        <v>54.7</v>
      </c>
      <c r="D1005" s="24" t="s">
        <v>818</v>
      </c>
      <c r="E1005" s="25" t="s">
        <v>742</v>
      </c>
      <c r="F1005" s="24">
        <v>1.0500000000000001E-2</v>
      </c>
      <c r="G1005" s="24">
        <v>3.7999999999999999E-2</v>
      </c>
      <c r="H1005" s="24">
        <v>0</v>
      </c>
      <c r="I1005" s="25" t="s">
        <v>811</v>
      </c>
      <c r="J1005" s="19">
        <f t="shared" si="34"/>
        <v>2.6067527308838132E-4</v>
      </c>
    </row>
    <row r="1006" spans="1:10" x14ac:dyDescent="0.15">
      <c r="A1006" s="25" t="s">
        <v>812</v>
      </c>
      <c r="B1006" s="25" t="s">
        <v>925</v>
      </c>
      <c r="C1006" s="25">
        <v>54.7</v>
      </c>
      <c r="D1006" s="24" t="s">
        <v>117</v>
      </c>
      <c r="E1006" s="25" t="s">
        <v>742</v>
      </c>
      <c r="F1006" s="24">
        <v>2.2600000000000002E-2</v>
      </c>
      <c r="G1006" s="24">
        <v>2.1000000000000001E-2</v>
      </c>
      <c r="H1006" s="24">
        <v>35</v>
      </c>
      <c r="I1006" s="25" t="s">
        <v>811</v>
      </c>
      <c r="J1006" s="19">
        <f t="shared" si="34"/>
        <v>8.3166380058091716E-4</v>
      </c>
    </row>
    <row r="1007" spans="1:10" x14ac:dyDescent="0.15">
      <c r="A1007" s="25" t="s">
        <v>812</v>
      </c>
      <c r="B1007" s="25" t="s">
        <v>925</v>
      </c>
      <c r="C1007" s="25">
        <v>54.7</v>
      </c>
      <c r="D1007" s="24" t="s">
        <v>819</v>
      </c>
      <c r="E1007" s="25" t="s">
        <v>742</v>
      </c>
      <c r="F1007" s="24">
        <v>2.3999999999999998E-3</v>
      </c>
      <c r="G1007" s="24">
        <v>1.9E-2</v>
      </c>
      <c r="H1007" s="24">
        <v>0</v>
      </c>
      <c r="I1007" s="25" t="s">
        <v>811</v>
      </c>
      <c r="J1007" s="19">
        <f t="shared" si="34"/>
        <v>1.1916583912611717E-4</v>
      </c>
    </row>
    <row r="1008" spans="1:10" x14ac:dyDescent="0.15">
      <c r="A1008" s="25" t="s">
        <v>812</v>
      </c>
      <c r="B1008" s="25" t="s">
        <v>925</v>
      </c>
      <c r="C1008" s="25">
        <v>54.7</v>
      </c>
      <c r="D1008" s="24" t="s">
        <v>118</v>
      </c>
      <c r="E1008" s="25" t="s">
        <v>742</v>
      </c>
      <c r="F1008" s="24">
        <v>2.6100000000000002E-2</v>
      </c>
      <c r="G1008" s="24">
        <v>0.05</v>
      </c>
      <c r="H1008" s="24">
        <v>0</v>
      </c>
      <c r="I1008" s="25" t="s">
        <v>811</v>
      </c>
      <c r="J1008" s="19">
        <f t="shared" si="34"/>
        <v>4.924528301886793E-4</v>
      </c>
    </row>
    <row r="1009" spans="1:10" x14ac:dyDescent="0.15">
      <c r="A1009" s="25" t="s">
        <v>812</v>
      </c>
      <c r="B1009" s="25" t="s">
        <v>925</v>
      </c>
      <c r="C1009" s="25">
        <v>54.7</v>
      </c>
      <c r="D1009" s="24" t="s">
        <v>120</v>
      </c>
      <c r="E1009" s="25" t="s">
        <v>742</v>
      </c>
      <c r="F1009" s="24">
        <v>1.6800000000000002E-2</v>
      </c>
      <c r="G1009" s="24">
        <v>3.9E-2</v>
      </c>
      <c r="H1009" s="24">
        <v>0</v>
      </c>
      <c r="I1009" s="25" t="s">
        <v>811</v>
      </c>
      <c r="J1009" s="19">
        <f t="shared" si="34"/>
        <v>4.0638606676342525E-4</v>
      </c>
    </row>
    <row r="1010" spans="1:10" x14ac:dyDescent="0.15">
      <c r="A1010" s="25" t="s">
        <v>812</v>
      </c>
      <c r="B1010" s="25" t="s">
        <v>925</v>
      </c>
      <c r="C1010" s="25">
        <v>54.7</v>
      </c>
      <c r="D1010" s="24" t="s">
        <v>106</v>
      </c>
      <c r="E1010" s="25" t="s">
        <v>743</v>
      </c>
      <c r="F1010" s="24">
        <v>2.7600000000000003E-2</v>
      </c>
      <c r="G1010" s="24">
        <v>4.5999999999999999E-2</v>
      </c>
      <c r="H1010" s="24">
        <v>20</v>
      </c>
      <c r="I1010" s="25" t="s">
        <v>811</v>
      </c>
      <c r="J1010" s="19">
        <f t="shared" si="34"/>
        <v>5.3190148346372184E-4</v>
      </c>
    </row>
    <row r="1011" spans="1:10" x14ac:dyDescent="0.15">
      <c r="A1011" s="25" t="s">
        <v>812</v>
      </c>
      <c r="B1011" s="25" t="s">
        <v>925</v>
      </c>
      <c r="C1011" s="25">
        <v>54.7</v>
      </c>
      <c r="D1011" s="24" t="s">
        <v>107</v>
      </c>
      <c r="E1011" s="25" t="s">
        <v>743</v>
      </c>
      <c r="F1011" s="24">
        <v>4.8399999999999999E-2</v>
      </c>
      <c r="G1011" s="24">
        <v>4.1000000000000002E-2</v>
      </c>
      <c r="H1011" s="24">
        <v>15</v>
      </c>
      <c r="I1011" s="25" t="s">
        <v>811</v>
      </c>
      <c r="J1011" s="19">
        <f t="shared" si="34"/>
        <v>1.0757204324066015E-3</v>
      </c>
    </row>
    <row r="1012" spans="1:10" x14ac:dyDescent="0.15">
      <c r="A1012" s="25" t="s">
        <v>812</v>
      </c>
      <c r="B1012" s="25" t="s">
        <v>925</v>
      </c>
      <c r="C1012" s="25">
        <v>54.7</v>
      </c>
      <c r="D1012" s="24" t="s">
        <v>146</v>
      </c>
      <c r="E1012" s="25" t="s">
        <v>743</v>
      </c>
      <c r="F1012" s="24">
        <v>7.9400000000000012E-2</v>
      </c>
      <c r="G1012" s="24">
        <v>2.3E-2</v>
      </c>
      <c r="H1012" s="24">
        <v>35</v>
      </c>
      <c r="I1012" s="25" t="s">
        <v>811</v>
      </c>
      <c r="J1012" s="19">
        <f t="shared" si="34"/>
        <v>2.6677880359534849E-3</v>
      </c>
    </row>
    <row r="1013" spans="1:10" x14ac:dyDescent="0.15">
      <c r="A1013" s="25" t="s">
        <v>812</v>
      </c>
      <c r="B1013" s="25" t="s">
        <v>925</v>
      </c>
      <c r="C1013" s="25">
        <v>54.7</v>
      </c>
      <c r="D1013" s="24" t="s">
        <v>143</v>
      </c>
      <c r="E1013" s="25" t="s">
        <v>743</v>
      </c>
      <c r="F1013" s="25">
        <v>1.6300000000000002E-2</v>
      </c>
      <c r="G1013" s="24">
        <v>3.7999999999999999E-2</v>
      </c>
      <c r="H1013" s="24">
        <v>0</v>
      </c>
      <c r="I1013" s="25" t="s">
        <v>811</v>
      </c>
      <c r="J1013" s="19">
        <f t="shared" si="34"/>
        <v>4.0466732869910628E-4</v>
      </c>
    </row>
    <row r="1014" spans="1:10" x14ac:dyDescent="0.15">
      <c r="A1014" s="25" t="s">
        <v>812</v>
      </c>
      <c r="B1014" s="25" t="s">
        <v>925</v>
      </c>
      <c r="C1014" s="25">
        <v>54.7</v>
      </c>
      <c r="D1014" s="24" t="s">
        <v>109</v>
      </c>
      <c r="E1014" s="25" t="s">
        <v>743</v>
      </c>
      <c r="F1014" s="25">
        <v>2.92E-2</v>
      </c>
      <c r="G1014" s="24">
        <v>5.0999999999999997E-2</v>
      </c>
      <c r="H1014" s="24">
        <v>0</v>
      </c>
      <c r="I1014" s="25" t="s">
        <v>811</v>
      </c>
      <c r="J1014" s="19">
        <f t="shared" si="34"/>
        <v>5.4014058453570114E-4</v>
      </c>
    </row>
    <row r="1015" spans="1:10" x14ac:dyDescent="0.15">
      <c r="A1015" s="25" t="s">
        <v>812</v>
      </c>
      <c r="B1015" s="25" t="s">
        <v>925</v>
      </c>
      <c r="C1015" s="25">
        <v>54.7</v>
      </c>
      <c r="D1015" s="24" t="s">
        <v>149</v>
      </c>
      <c r="E1015" s="25" t="s">
        <v>743</v>
      </c>
      <c r="F1015" s="24">
        <v>1.1900000000000001E-2</v>
      </c>
      <c r="G1015" s="24">
        <v>4.8000000000000001E-2</v>
      </c>
      <c r="H1015" s="24">
        <v>15</v>
      </c>
      <c r="I1015" s="25" t="s">
        <v>811</v>
      </c>
      <c r="J1015" s="19">
        <f t="shared" si="34"/>
        <v>2.2591425575550146E-4</v>
      </c>
    </row>
    <row r="1016" spans="1:10" x14ac:dyDescent="0.15">
      <c r="A1016" s="25" t="s">
        <v>812</v>
      </c>
      <c r="B1016" s="25" t="s">
        <v>925</v>
      </c>
      <c r="C1016" s="25">
        <v>54.7</v>
      </c>
      <c r="D1016" s="24" t="s">
        <v>144</v>
      </c>
      <c r="E1016" s="25" t="s">
        <v>743</v>
      </c>
      <c r="F1016" s="24">
        <v>5.9200000000000003E-2</v>
      </c>
      <c r="G1016" s="24">
        <v>8.3000000000000004E-2</v>
      </c>
      <c r="H1016" s="24">
        <v>0</v>
      </c>
      <c r="I1016" s="25" t="s">
        <v>811</v>
      </c>
      <c r="J1016" s="19">
        <f t="shared" si="34"/>
        <v>6.7288020004546483E-4</v>
      </c>
    </row>
    <row r="1017" spans="1:10" x14ac:dyDescent="0.15">
      <c r="A1017" s="25" t="s">
        <v>812</v>
      </c>
      <c r="B1017" s="25" t="s">
        <v>925</v>
      </c>
      <c r="C1017" s="25">
        <v>54.7</v>
      </c>
      <c r="D1017" s="24" t="s">
        <v>148</v>
      </c>
      <c r="E1017" s="25" t="s">
        <v>743</v>
      </c>
      <c r="F1017" s="24">
        <v>2.9499999999999998E-2</v>
      </c>
      <c r="G1017" s="24">
        <v>2.5000000000000001E-2</v>
      </c>
      <c r="H1017" s="24">
        <v>25</v>
      </c>
      <c r="I1017" s="25" t="s">
        <v>811</v>
      </c>
      <c r="J1017" s="19">
        <f t="shared" si="34"/>
        <v>1.0089086685879686E-3</v>
      </c>
    </row>
    <row r="1018" spans="1:10" x14ac:dyDescent="0.15">
      <c r="A1018" s="25" t="s">
        <v>812</v>
      </c>
      <c r="B1018" s="25" t="s">
        <v>925</v>
      </c>
      <c r="C1018" s="25">
        <v>54.7</v>
      </c>
      <c r="D1018" s="24" t="s">
        <v>128</v>
      </c>
      <c r="E1018" s="25" t="s">
        <v>743</v>
      </c>
      <c r="F1018" s="24">
        <v>1.4199999999999999E-2</v>
      </c>
      <c r="G1018" s="24">
        <v>0.05</v>
      </c>
      <c r="H1018" s="24">
        <v>20</v>
      </c>
      <c r="I1018" s="25" t="s">
        <v>811</v>
      </c>
      <c r="J1018" s="19">
        <f t="shared" si="34"/>
        <v>2.5176670217282829E-4</v>
      </c>
    </row>
    <row r="1019" spans="1:10" x14ac:dyDescent="0.15">
      <c r="A1019" s="25" t="s">
        <v>812</v>
      </c>
      <c r="B1019" s="25" t="s">
        <v>925</v>
      </c>
      <c r="C1019" s="25">
        <v>54.7</v>
      </c>
      <c r="D1019" s="24" t="s">
        <v>130</v>
      </c>
      <c r="E1019" s="25" t="s">
        <v>743</v>
      </c>
      <c r="F1019" s="24">
        <v>1.72E-2</v>
      </c>
      <c r="G1019" s="24">
        <v>0.109</v>
      </c>
      <c r="H1019" s="24">
        <v>10</v>
      </c>
      <c r="I1019" s="25" t="s">
        <v>811</v>
      </c>
      <c r="J1019" s="19">
        <f t="shared" si="34"/>
        <v>1.4660458154587138E-4</v>
      </c>
    </row>
    <row r="1020" spans="1:10" x14ac:dyDescent="0.15">
      <c r="A1020" s="25" t="s">
        <v>812</v>
      </c>
      <c r="B1020" s="25" t="s">
        <v>925</v>
      </c>
      <c r="C1020" s="25">
        <v>54.7</v>
      </c>
      <c r="D1020" s="24" t="s">
        <v>694</v>
      </c>
      <c r="E1020" s="25" t="s">
        <v>743</v>
      </c>
      <c r="F1020" s="24">
        <v>3.0100000000000002E-2</v>
      </c>
      <c r="G1020" s="24">
        <v>6.7000000000000004E-2</v>
      </c>
      <c r="H1020" s="24">
        <v>0</v>
      </c>
      <c r="I1020" s="25" t="s">
        <v>811</v>
      </c>
      <c r="J1020" s="19">
        <f t="shared" si="34"/>
        <v>4.2382427485215427E-4</v>
      </c>
    </row>
    <row r="1021" spans="1:10" x14ac:dyDescent="0.15">
      <c r="A1021" s="25" t="s">
        <v>812</v>
      </c>
      <c r="B1021" s="25" t="s">
        <v>925</v>
      </c>
      <c r="C1021" s="25">
        <v>54.7</v>
      </c>
      <c r="D1021" s="24" t="s">
        <v>145</v>
      </c>
      <c r="E1021" s="25" t="s">
        <v>743</v>
      </c>
      <c r="F1021" s="24">
        <v>4.9000000000000007E-3</v>
      </c>
      <c r="G1021" s="24">
        <v>8.3000000000000004E-2</v>
      </c>
      <c r="H1021" s="24">
        <v>0</v>
      </c>
      <c r="I1021" s="25" t="s">
        <v>811</v>
      </c>
      <c r="J1021" s="19">
        <f t="shared" si="34"/>
        <v>5.5694476017276661E-5</v>
      </c>
    </row>
    <row r="1022" spans="1:10" x14ac:dyDescent="0.15">
      <c r="A1022" s="34" t="s">
        <v>258</v>
      </c>
      <c r="B1022" s="34" t="s">
        <v>925</v>
      </c>
      <c r="C1022" s="34">
        <v>91</v>
      </c>
      <c r="D1022" s="33" t="s">
        <v>259</v>
      </c>
      <c r="E1022" s="34" t="s">
        <v>742</v>
      </c>
      <c r="F1022" s="33">
        <v>0.06</v>
      </c>
      <c r="G1022" s="33">
        <v>6.6000000000000003E-2</v>
      </c>
      <c r="H1022" s="33">
        <v>24.8</v>
      </c>
      <c r="I1022" s="34" t="s">
        <v>296</v>
      </c>
      <c r="J1022" s="19">
        <f t="shared" si="34"/>
        <v>7.7853986152050475E-4</v>
      </c>
    </row>
    <row r="1023" spans="1:10" x14ac:dyDescent="0.15">
      <c r="A1023" s="34" t="s">
        <v>258</v>
      </c>
      <c r="B1023" s="34" t="s">
        <v>925</v>
      </c>
      <c r="C1023" s="34">
        <v>91</v>
      </c>
      <c r="D1023" s="33" t="s">
        <v>260</v>
      </c>
      <c r="E1023" s="34" t="s">
        <v>742</v>
      </c>
      <c r="F1023" s="33">
        <v>0.315</v>
      </c>
      <c r="G1023" s="33">
        <v>0.16900000000000001</v>
      </c>
      <c r="H1023" s="33">
        <v>0</v>
      </c>
      <c r="I1023" s="34" t="s">
        <v>296</v>
      </c>
      <c r="J1023" s="19">
        <f t="shared" si="34"/>
        <v>1.7584012504186669E-3</v>
      </c>
    </row>
    <row r="1024" spans="1:10" x14ac:dyDescent="0.15">
      <c r="A1024" s="34" t="s">
        <v>258</v>
      </c>
      <c r="B1024" s="34" t="s">
        <v>925</v>
      </c>
      <c r="C1024" s="34">
        <v>91</v>
      </c>
      <c r="D1024" s="33" t="s">
        <v>261</v>
      </c>
      <c r="E1024" s="34" t="s">
        <v>742</v>
      </c>
      <c r="F1024" s="33">
        <v>0.05</v>
      </c>
      <c r="G1024" s="33">
        <v>9.4E-2</v>
      </c>
      <c r="H1024" s="33">
        <v>31.8</v>
      </c>
      <c r="I1024" s="34" t="s">
        <v>296</v>
      </c>
      <c r="J1024" s="19">
        <f t="shared" si="34"/>
        <v>4.2648168054338817E-4</v>
      </c>
    </row>
    <row r="1025" spans="1:10" x14ac:dyDescent="0.15">
      <c r="A1025" s="34" t="s">
        <v>258</v>
      </c>
      <c r="B1025" s="34" t="s">
        <v>925</v>
      </c>
      <c r="C1025" s="34">
        <v>91</v>
      </c>
      <c r="D1025" s="33" t="s">
        <v>270</v>
      </c>
      <c r="E1025" s="34" t="s">
        <v>742</v>
      </c>
      <c r="F1025" s="33">
        <v>2.5000000000000001E-2</v>
      </c>
      <c r="G1025" s="33">
        <v>2.5000000000000001E-2</v>
      </c>
      <c r="H1025" s="33">
        <v>31.4</v>
      </c>
      <c r="I1025" s="34" t="s">
        <v>296</v>
      </c>
      <c r="J1025" s="19">
        <f t="shared" ref="J1025:J1045" si="35">F1025*COS(RADIANS(H1025))/(1060*G1025)</f>
        <v>8.0523660120313922E-4</v>
      </c>
    </row>
    <row r="1026" spans="1:10" x14ac:dyDescent="0.15">
      <c r="A1026" s="34" t="s">
        <v>258</v>
      </c>
      <c r="B1026" s="34" t="s">
        <v>925</v>
      </c>
      <c r="C1026" s="34">
        <v>91</v>
      </c>
      <c r="D1026" s="33" t="s">
        <v>271</v>
      </c>
      <c r="E1026" s="34" t="s">
        <v>742</v>
      </c>
      <c r="F1026" s="33">
        <v>4.4999999999999998E-2</v>
      </c>
      <c r="G1026" s="33">
        <v>2.8000000000000001E-2</v>
      </c>
      <c r="H1026" s="33">
        <v>29.3</v>
      </c>
      <c r="I1026" s="34" t="s">
        <v>296</v>
      </c>
      <c r="J1026" s="19">
        <f t="shared" si="35"/>
        <v>1.322207454833067E-3</v>
      </c>
    </row>
    <row r="1027" spans="1:10" x14ac:dyDescent="0.15">
      <c r="A1027" s="34" t="s">
        <v>258</v>
      </c>
      <c r="B1027" s="34" t="s">
        <v>925</v>
      </c>
      <c r="C1027" s="34">
        <v>91</v>
      </c>
      <c r="D1027" s="33" t="s">
        <v>272</v>
      </c>
      <c r="E1027" s="34" t="s">
        <v>742</v>
      </c>
      <c r="F1027" s="33">
        <v>0.185</v>
      </c>
      <c r="G1027" s="33">
        <v>0.189</v>
      </c>
      <c r="H1027" s="33">
        <v>0</v>
      </c>
      <c r="I1027" s="34" t="s">
        <v>296</v>
      </c>
      <c r="J1027" s="19">
        <f t="shared" si="35"/>
        <v>9.2343016871318756E-4</v>
      </c>
    </row>
    <row r="1028" spans="1:10" x14ac:dyDescent="0.15">
      <c r="A1028" s="34" t="s">
        <v>258</v>
      </c>
      <c r="B1028" s="34" t="s">
        <v>925</v>
      </c>
      <c r="C1028" s="34">
        <v>91</v>
      </c>
      <c r="D1028" s="33" t="s">
        <v>273</v>
      </c>
      <c r="E1028" s="34" t="s">
        <v>742</v>
      </c>
      <c r="F1028" s="33">
        <v>0.91200000000000003</v>
      </c>
      <c r="G1028" s="33">
        <v>0.13800000000000001</v>
      </c>
      <c r="H1028" s="33">
        <v>0</v>
      </c>
      <c r="I1028" s="34" t="s">
        <v>296</v>
      </c>
      <c r="J1028" s="19">
        <f t="shared" si="35"/>
        <v>6.2346185397867109E-3</v>
      </c>
    </row>
    <row r="1029" spans="1:10" x14ac:dyDescent="0.15">
      <c r="A1029" s="34" t="s">
        <v>258</v>
      </c>
      <c r="B1029" s="34" t="s">
        <v>925</v>
      </c>
      <c r="C1029" s="34">
        <v>91</v>
      </c>
      <c r="D1029" s="33" t="s">
        <v>274</v>
      </c>
      <c r="E1029" s="34" t="s">
        <v>742</v>
      </c>
      <c r="F1029" s="33">
        <v>0.24</v>
      </c>
      <c r="G1029" s="33">
        <v>0.10199999999999999</v>
      </c>
      <c r="H1029" s="33">
        <v>0</v>
      </c>
      <c r="I1029" s="34" t="s">
        <v>296</v>
      </c>
      <c r="J1029" s="19">
        <f t="shared" si="35"/>
        <v>2.2197558268590455E-3</v>
      </c>
    </row>
    <row r="1030" spans="1:10" x14ac:dyDescent="0.15">
      <c r="A1030" s="34" t="s">
        <v>258</v>
      </c>
      <c r="B1030" s="34" t="s">
        <v>925</v>
      </c>
      <c r="C1030" s="34">
        <v>91</v>
      </c>
      <c r="D1030" s="33" t="s">
        <v>275</v>
      </c>
      <c r="E1030" s="34" t="s">
        <v>742</v>
      </c>
      <c r="F1030" s="33">
        <v>0.36199999999999999</v>
      </c>
      <c r="G1030" s="33">
        <v>0.112</v>
      </c>
      <c r="H1030" s="33">
        <v>0</v>
      </c>
      <c r="I1030" s="34" t="s">
        <v>296</v>
      </c>
      <c r="J1030" s="19">
        <f t="shared" si="35"/>
        <v>3.0491913746630728E-3</v>
      </c>
    </row>
    <row r="1031" spans="1:10" x14ac:dyDescent="0.15">
      <c r="A1031" s="34" t="s">
        <v>258</v>
      </c>
      <c r="B1031" s="34" t="s">
        <v>925</v>
      </c>
      <c r="C1031" s="34">
        <v>91</v>
      </c>
      <c r="D1031" s="33" t="s">
        <v>276</v>
      </c>
      <c r="E1031" s="34" t="s">
        <v>742</v>
      </c>
      <c r="F1031" s="33">
        <v>8.3000000000000004E-2</v>
      </c>
      <c r="G1031" s="33">
        <v>4.5999999999999999E-2</v>
      </c>
      <c r="H1031" s="33">
        <v>25.6</v>
      </c>
      <c r="I1031" s="34" t="s">
        <v>296</v>
      </c>
      <c r="J1031" s="19">
        <f t="shared" si="35"/>
        <v>1.5351127910505423E-3</v>
      </c>
    </row>
    <row r="1032" spans="1:10" x14ac:dyDescent="0.15">
      <c r="A1032" s="34" t="s">
        <v>258</v>
      </c>
      <c r="B1032" s="34" t="s">
        <v>925</v>
      </c>
      <c r="C1032" s="34">
        <v>91</v>
      </c>
      <c r="D1032" s="33" t="s">
        <v>277</v>
      </c>
      <c r="E1032" s="34" t="s">
        <v>742</v>
      </c>
      <c r="F1032" s="33">
        <v>0.26900000000000002</v>
      </c>
      <c r="G1032" s="33">
        <v>9.4E-2</v>
      </c>
      <c r="H1032" s="33">
        <v>0</v>
      </c>
      <c r="I1032" s="34" t="s">
        <v>296</v>
      </c>
      <c r="J1032" s="19">
        <f t="shared" si="35"/>
        <v>2.6997189883580892E-3</v>
      </c>
    </row>
    <row r="1033" spans="1:10" x14ac:dyDescent="0.15">
      <c r="A1033" s="34" t="s">
        <v>258</v>
      </c>
      <c r="B1033" s="34" t="s">
        <v>925</v>
      </c>
      <c r="C1033" s="34">
        <v>91</v>
      </c>
      <c r="D1033" s="33" t="s">
        <v>278</v>
      </c>
      <c r="E1033" s="34" t="s">
        <v>742</v>
      </c>
      <c r="F1033" s="33">
        <v>9.6000000000000002E-2</v>
      </c>
      <c r="G1033" s="33">
        <v>2.7E-2</v>
      </c>
      <c r="H1033" s="33">
        <v>32.4</v>
      </c>
      <c r="I1033" s="34" t="s">
        <v>296</v>
      </c>
      <c r="J1033" s="19">
        <f t="shared" si="35"/>
        <v>2.8321272134239498E-3</v>
      </c>
    </row>
    <row r="1034" spans="1:10" x14ac:dyDescent="0.15">
      <c r="A1034" s="34" t="s">
        <v>258</v>
      </c>
      <c r="B1034" s="34" t="s">
        <v>925</v>
      </c>
      <c r="C1034" s="34">
        <v>91</v>
      </c>
      <c r="D1034" s="33" t="s">
        <v>282</v>
      </c>
      <c r="E1034" s="34" t="s">
        <v>742</v>
      </c>
      <c r="F1034" s="33">
        <v>0.26500000000000001</v>
      </c>
      <c r="G1034" s="33">
        <v>0.14199999999999999</v>
      </c>
      <c r="H1034" s="33">
        <v>0</v>
      </c>
      <c r="I1034" s="34" t="s">
        <v>296</v>
      </c>
      <c r="J1034" s="19">
        <f t="shared" si="35"/>
        <v>1.7605633802816904E-3</v>
      </c>
    </row>
    <row r="1035" spans="1:10" x14ac:dyDescent="0.15">
      <c r="A1035" s="34" t="s">
        <v>258</v>
      </c>
      <c r="B1035" s="34" t="s">
        <v>925</v>
      </c>
      <c r="C1035" s="34">
        <v>91</v>
      </c>
      <c r="D1035" s="33" t="s">
        <v>283</v>
      </c>
      <c r="E1035" s="34" t="s">
        <v>742</v>
      </c>
      <c r="F1035" s="33">
        <v>1.7999999999999999E-2</v>
      </c>
      <c r="G1035" s="33">
        <v>8.2000000000000003E-2</v>
      </c>
      <c r="H1035" s="33">
        <v>0</v>
      </c>
      <c r="I1035" s="34" t="s">
        <v>296</v>
      </c>
      <c r="J1035" s="19">
        <f t="shared" si="35"/>
        <v>2.0708697653014265E-4</v>
      </c>
    </row>
    <row r="1036" spans="1:10" x14ac:dyDescent="0.15">
      <c r="A1036" s="34" t="s">
        <v>258</v>
      </c>
      <c r="B1036" s="34" t="s">
        <v>925</v>
      </c>
      <c r="C1036" s="34">
        <v>91</v>
      </c>
      <c r="D1036" s="33" t="s">
        <v>284</v>
      </c>
      <c r="E1036" s="34" t="s">
        <v>742</v>
      </c>
      <c r="F1036" s="33">
        <v>0.40899999999999997</v>
      </c>
      <c r="G1036" s="33">
        <v>5.7000000000000002E-2</v>
      </c>
      <c r="H1036" s="33">
        <v>33.1</v>
      </c>
      <c r="I1036" s="34" t="s">
        <v>296</v>
      </c>
      <c r="J1036" s="19">
        <f t="shared" si="35"/>
        <v>5.6707539738126353E-3</v>
      </c>
    </row>
    <row r="1037" spans="1:10" x14ac:dyDescent="0.15">
      <c r="A1037" s="34" t="s">
        <v>258</v>
      </c>
      <c r="B1037" s="34" t="s">
        <v>925</v>
      </c>
      <c r="C1037" s="34">
        <v>91</v>
      </c>
      <c r="D1037" s="33" t="s">
        <v>285</v>
      </c>
      <c r="E1037" s="34" t="s">
        <v>742</v>
      </c>
      <c r="F1037" s="33">
        <v>6.4000000000000001E-2</v>
      </c>
      <c r="G1037" s="33">
        <v>0.16400000000000001</v>
      </c>
      <c r="H1037" s="33">
        <v>0</v>
      </c>
      <c r="I1037" s="34" t="s">
        <v>296</v>
      </c>
      <c r="J1037" s="19">
        <f t="shared" si="35"/>
        <v>3.6815462494247585E-4</v>
      </c>
    </row>
    <row r="1038" spans="1:10" x14ac:dyDescent="0.15">
      <c r="A1038" s="34" t="s">
        <v>258</v>
      </c>
      <c r="B1038" s="34" t="s">
        <v>925</v>
      </c>
      <c r="C1038" s="34">
        <v>91</v>
      </c>
      <c r="D1038" s="33" t="s">
        <v>286</v>
      </c>
      <c r="E1038" s="34" t="s">
        <v>742</v>
      </c>
      <c r="F1038" s="33">
        <v>0.13900000000000001</v>
      </c>
      <c r="G1038" s="33">
        <v>8.5999999999999993E-2</v>
      </c>
      <c r="H1038" s="33">
        <v>0</v>
      </c>
      <c r="I1038" s="34" t="s">
        <v>296</v>
      </c>
      <c r="J1038" s="19">
        <f t="shared" si="35"/>
        <v>1.5247915752523039E-3</v>
      </c>
    </row>
    <row r="1039" spans="1:10" x14ac:dyDescent="0.15">
      <c r="A1039" s="34" t="s">
        <v>258</v>
      </c>
      <c r="B1039" s="34" t="s">
        <v>925</v>
      </c>
      <c r="C1039" s="34">
        <v>91</v>
      </c>
      <c r="D1039" s="33" t="s">
        <v>287</v>
      </c>
      <c r="E1039" s="34" t="s">
        <v>742</v>
      </c>
      <c r="F1039" s="33">
        <v>1.1100000000000001</v>
      </c>
      <c r="G1039" s="33">
        <v>0.245</v>
      </c>
      <c r="H1039" s="33">
        <v>0</v>
      </c>
      <c r="I1039" s="34" t="s">
        <v>296</v>
      </c>
      <c r="J1039" s="19">
        <f t="shared" si="35"/>
        <v>4.2741624951867542E-3</v>
      </c>
    </row>
    <row r="1040" spans="1:10" x14ac:dyDescent="0.15">
      <c r="A1040" s="34" t="s">
        <v>258</v>
      </c>
      <c r="B1040" s="34" t="s">
        <v>925</v>
      </c>
      <c r="C1040" s="34">
        <v>91</v>
      </c>
      <c r="D1040" s="33" t="s">
        <v>288</v>
      </c>
      <c r="E1040" s="34" t="s">
        <v>742</v>
      </c>
      <c r="F1040" s="33">
        <v>0.35299999999999998</v>
      </c>
      <c r="G1040" s="33">
        <v>0.25900000000000001</v>
      </c>
      <c r="H1040" s="33">
        <v>0</v>
      </c>
      <c r="I1040" s="34" t="s">
        <v>296</v>
      </c>
      <c r="J1040" s="19">
        <f t="shared" si="35"/>
        <v>1.2857871348437384E-3</v>
      </c>
    </row>
    <row r="1041" spans="1:10" x14ac:dyDescent="0.15">
      <c r="A1041" s="34" t="s">
        <v>258</v>
      </c>
      <c r="B1041" s="34" t="s">
        <v>925</v>
      </c>
      <c r="C1041" s="34">
        <v>91</v>
      </c>
      <c r="D1041" s="33" t="s">
        <v>289</v>
      </c>
      <c r="E1041" s="34" t="s">
        <v>742</v>
      </c>
      <c r="F1041" s="33">
        <v>5.0999999999999997E-2</v>
      </c>
      <c r="G1041" s="33">
        <v>5.6000000000000001E-2</v>
      </c>
      <c r="H1041" s="33">
        <v>0</v>
      </c>
      <c r="I1041" s="34" t="s">
        <v>296</v>
      </c>
      <c r="J1041" s="19">
        <f t="shared" si="35"/>
        <v>8.5916442048517515E-4</v>
      </c>
    </row>
    <row r="1042" spans="1:10" x14ac:dyDescent="0.15">
      <c r="A1042" s="34" t="s">
        <v>258</v>
      </c>
      <c r="B1042" s="34" t="s">
        <v>925</v>
      </c>
      <c r="C1042" s="34">
        <v>91</v>
      </c>
      <c r="D1042" s="33" t="s">
        <v>290</v>
      </c>
      <c r="E1042" s="34" t="s">
        <v>742</v>
      </c>
      <c r="F1042" s="33">
        <v>0.14799999999999999</v>
      </c>
      <c r="G1042" s="33">
        <v>7.4999999999999997E-2</v>
      </c>
      <c r="H1042" s="33">
        <v>0</v>
      </c>
      <c r="I1042" s="34" t="s">
        <v>296</v>
      </c>
      <c r="J1042" s="19">
        <f t="shared" si="35"/>
        <v>1.861635220125786E-3</v>
      </c>
    </row>
    <row r="1043" spans="1:10" x14ac:dyDescent="0.15">
      <c r="A1043" s="34" t="s">
        <v>258</v>
      </c>
      <c r="B1043" s="34" t="s">
        <v>925</v>
      </c>
      <c r="C1043" s="34">
        <v>91</v>
      </c>
      <c r="D1043" s="33" t="s">
        <v>293</v>
      </c>
      <c r="E1043" s="34" t="s">
        <v>742</v>
      </c>
      <c r="F1043" s="33">
        <v>0.09</v>
      </c>
      <c r="G1043" s="33">
        <v>0.06</v>
      </c>
      <c r="H1043" s="33">
        <v>0</v>
      </c>
      <c r="I1043" s="34" t="s">
        <v>296</v>
      </c>
      <c r="J1043" s="19">
        <f t="shared" si="35"/>
        <v>1.4150943396226416E-3</v>
      </c>
    </row>
    <row r="1044" spans="1:10" x14ac:dyDescent="0.15">
      <c r="A1044" s="34" t="s">
        <v>258</v>
      </c>
      <c r="B1044" s="34" t="s">
        <v>925</v>
      </c>
      <c r="C1044" s="34">
        <v>91</v>
      </c>
      <c r="D1044" s="33" t="s">
        <v>294</v>
      </c>
      <c r="E1044" s="34" t="s">
        <v>742</v>
      </c>
      <c r="F1044" s="33">
        <v>0.46100000000000002</v>
      </c>
      <c r="G1044" s="33">
        <v>9.7000000000000003E-2</v>
      </c>
      <c r="H1044" s="33">
        <v>0</v>
      </c>
      <c r="I1044" s="34" t="s">
        <v>296</v>
      </c>
      <c r="J1044" s="19">
        <f t="shared" si="35"/>
        <v>4.4835635090449324E-3</v>
      </c>
    </row>
    <row r="1045" spans="1:10" x14ac:dyDescent="0.15">
      <c r="A1045" s="34" t="s">
        <v>258</v>
      </c>
      <c r="B1045" s="34" t="s">
        <v>925</v>
      </c>
      <c r="C1045" s="34">
        <v>91</v>
      </c>
      <c r="D1045" s="33" t="s">
        <v>295</v>
      </c>
      <c r="E1045" s="34" t="s">
        <v>742</v>
      </c>
      <c r="F1045" s="33">
        <v>0.29799999999999999</v>
      </c>
      <c r="G1045" s="33">
        <v>6.0999999999999999E-2</v>
      </c>
      <c r="H1045" s="33">
        <v>10.3</v>
      </c>
      <c r="I1045" s="34" t="s">
        <v>296</v>
      </c>
      <c r="J1045" s="19">
        <f t="shared" si="35"/>
        <v>4.5344531596689672E-3</v>
      </c>
    </row>
    <row r="1046" spans="1:10" x14ac:dyDescent="0.15">
      <c r="A1046" s="34" t="s">
        <v>258</v>
      </c>
      <c r="B1046" s="34" t="s">
        <v>925</v>
      </c>
      <c r="C1046" s="34">
        <v>91</v>
      </c>
      <c r="D1046" s="33" t="s">
        <v>262</v>
      </c>
      <c r="E1046" s="34" t="s">
        <v>743</v>
      </c>
      <c r="F1046" s="33">
        <v>5.3999999999999999E-2</v>
      </c>
      <c r="G1046" s="33">
        <v>4.2999999999999997E-2</v>
      </c>
      <c r="H1046" s="33">
        <v>26.8</v>
      </c>
      <c r="I1046" s="34" t="s">
        <v>296</v>
      </c>
      <c r="J1046" s="19">
        <f t="shared" si="34"/>
        <v>1.0574733259415266E-3</v>
      </c>
    </row>
    <row r="1047" spans="1:10" x14ac:dyDescent="0.15">
      <c r="A1047" s="34" t="s">
        <v>258</v>
      </c>
      <c r="B1047" s="34" t="s">
        <v>925</v>
      </c>
      <c r="C1047" s="34">
        <v>91</v>
      </c>
      <c r="D1047" s="33" t="s">
        <v>263</v>
      </c>
      <c r="E1047" s="34" t="s">
        <v>743</v>
      </c>
      <c r="F1047" s="33">
        <v>2.5999999999999999E-2</v>
      </c>
      <c r="G1047" s="33">
        <v>4.4999999999999998E-2</v>
      </c>
      <c r="H1047" s="33">
        <v>15</v>
      </c>
      <c r="I1047" s="34" t="s">
        <v>296</v>
      </c>
      <c r="J1047" s="19">
        <f t="shared" si="34"/>
        <v>5.2650045038817137E-4</v>
      </c>
    </row>
    <row r="1048" spans="1:10" x14ac:dyDescent="0.15">
      <c r="A1048" s="34" t="s">
        <v>258</v>
      </c>
      <c r="B1048" s="34" t="s">
        <v>925</v>
      </c>
      <c r="C1048" s="34">
        <v>91</v>
      </c>
      <c r="D1048" s="33" t="s">
        <v>264</v>
      </c>
      <c r="E1048" s="34" t="s">
        <v>743</v>
      </c>
      <c r="F1048" s="33">
        <v>2.1000000000000001E-2</v>
      </c>
      <c r="G1048" s="33">
        <v>4.2999999999999997E-2</v>
      </c>
      <c r="H1048" s="33">
        <v>35.4</v>
      </c>
      <c r="I1048" s="34" t="s">
        <v>296</v>
      </c>
      <c r="J1048" s="19">
        <f t="shared" si="34"/>
        <v>3.7555251668055378E-4</v>
      </c>
    </row>
    <row r="1049" spans="1:10" x14ac:dyDescent="0.15">
      <c r="A1049" s="34" t="s">
        <v>258</v>
      </c>
      <c r="B1049" s="34" t="s">
        <v>925</v>
      </c>
      <c r="C1049" s="34">
        <v>91</v>
      </c>
      <c r="D1049" s="33" t="s">
        <v>265</v>
      </c>
      <c r="E1049" s="34" t="s">
        <v>743</v>
      </c>
      <c r="F1049" s="33">
        <v>0.152</v>
      </c>
      <c r="G1049" s="33">
        <v>1.7999999999999999E-2</v>
      </c>
      <c r="H1049" s="33">
        <v>33.299999999999997</v>
      </c>
      <c r="I1049" s="34" t="s">
        <v>296</v>
      </c>
      <c r="J1049" s="19">
        <f t="shared" si="34"/>
        <v>6.6584234238981702E-3</v>
      </c>
    </row>
    <row r="1050" spans="1:10" x14ac:dyDescent="0.15">
      <c r="A1050" s="34" t="s">
        <v>258</v>
      </c>
      <c r="B1050" s="34" t="s">
        <v>925</v>
      </c>
      <c r="C1050" s="34">
        <v>91</v>
      </c>
      <c r="D1050" s="33" t="s">
        <v>266</v>
      </c>
      <c r="E1050" s="34" t="s">
        <v>743</v>
      </c>
      <c r="F1050" s="33">
        <v>0.02</v>
      </c>
      <c r="G1050" s="33">
        <v>3.5000000000000003E-2</v>
      </c>
      <c r="H1050" s="33">
        <v>28.6</v>
      </c>
      <c r="I1050" s="34" t="s">
        <v>296</v>
      </c>
      <c r="J1050" s="19">
        <f t="shared" si="34"/>
        <v>4.7330618621454481E-4</v>
      </c>
    </row>
    <row r="1051" spans="1:10" x14ac:dyDescent="0.15">
      <c r="A1051" s="34" t="s">
        <v>258</v>
      </c>
      <c r="B1051" s="34" t="s">
        <v>925</v>
      </c>
      <c r="C1051" s="34">
        <v>91</v>
      </c>
      <c r="D1051" s="33" t="s">
        <v>267</v>
      </c>
      <c r="E1051" s="34" t="s">
        <v>743</v>
      </c>
      <c r="F1051" s="33">
        <v>0.111</v>
      </c>
      <c r="G1051" s="33">
        <v>1.2999999999999999E-2</v>
      </c>
      <c r="H1051" s="33">
        <v>30.5</v>
      </c>
      <c r="I1051" s="34" t="s">
        <v>296</v>
      </c>
      <c r="J1051" s="19">
        <f t="shared" si="34"/>
        <v>6.9405541951385614E-3</v>
      </c>
    </row>
    <row r="1052" spans="1:10" x14ac:dyDescent="0.15">
      <c r="A1052" s="34" t="s">
        <v>258</v>
      </c>
      <c r="B1052" s="34" t="s">
        <v>925</v>
      </c>
      <c r="C1052" s="34">
        <v>91</v>
      </c>
      <c r="D1052" s="33" t="s">
        <v>268</v>
      </c>
      <c r="E1052" s="34" t="s">
        <v>743</v>
      </c>
      <c r="F1052" s="33">
        <v>0.192</v>
      </c>
      <c r="G1052" s="33">
        <v>3.5999999999999997E-2</v>
      </c>
      <c r="H1052" s="33">
        <v>0</v>
      </c>
      <c r="I1052" s="34" t="s">
        <v>296</v>
      </c>
      <c r="J1052" s="19">
        <f t="shared" si="34"/>
        <v>5.0314465408805038E-3</v>
      </c>
    </row>
    <row r="1053" spans="1:10" x14ac:dyDescent="0.15">
      <c r="A1053" s="34" t="s">
        <v>258</v>
      </c>
      <c r="B1053" s="34" t="s">
        <v>925</v>
      </c>
      <c r="C1053" s="34">
        <v>91</v>
      </c>
      <c r="D1053" s="33" t="s">
        <v>269</v>
      </c>
      <c r="E1053" s="34" t="s">
        <v>743</v>
      </c>
      <c r="F1053" s="33">
        <v>0.21099999999999999</v>
      </c>
      <c r="G1053" s="33">
        <v>3.9E-2</v>
      </c>
      <c r="H1053" s="33">
        <v>0</v>
      </c>
      <c r="I1053" s="34" t="s">
        <v>296</v>
      </c>
      <c r="J1053" s="19">
        <f t="shared" si="34"/>
        <v>5.104015481373971E-3</v>
      </c>
    </row>
    <row r="1054" spans="1:10" x14ac:dyDescent="0.15">
      <c r="A1054" s="34" t="s">
        <v>258</v>
      </c>
      <c r="B1054" s="34" t="s">
        <v>925</v>
      </c>
      <c r="C1054" s="34">
        <v>91</v>
      </c>
      <c r="D1054" s="33" t="s">
        <v>279</v>
      </c>
      <c r="E1054" s="34" t="s">
        <v>743</v>
      </c>
      <c r="F1054" s="33">
        <v>1.0999999999999999E-2</v>
      </c>
      <c r="G1054" s="33">
        <v>7.3999999999999996E-2</v>
      </c>
      <c r="H1054" s="33">
        <v>0</v>
      </c>
      <c r="I1054" s="34" t="s">
        <v>296</v>
      </c>
      <c r="J1054" s="19">
        <f t="shared" si="34"/>
        <v>1.4023457419683834E-4</v>
      </c>
    </row>
    <row r="1055" spans="1:10" x14ac:dyDescent="0.15">
      <c r="A1055" s="34" t="s">
        <v>258</v>
      </c>
      <c r="B1055" s="34" t="s">
        <v>925</v>
      </c>
      <c r="C1055" s="34">
        <v>91</v>
      </c>
      <c r="D1055" s="33" t="s">
        <v>280</v>
      </c>
      <c r="E1055" s="34" t="s">
        <v>743</v>
      </c>
      <c r="F1055" s="33">
        <v>6.8000000000000005E-2</v>
      </c>
      <c r="G1055" s="33">
        <v>1.4E-2</v>
      </c>
      <c r="H1055" s="33">
        <v>29.8</v>
      </c>
      <c r="I1055" s="34" t="s">
        <v>296</v>
      </c>
      <c r="J1055" s="19">
        <f t="shared" si="34"/>
        <v>3.9762837485907776E-3</v>
      </c>
    </row>
    <row r="1056" spans="1:10" x14ac:dyDescent="0.15">
      <c r="A1056" s="34" t="s">
        <v>258</v>
      </c>
      <c r="B1056" s="34" t="s">
        <v>925</v>
      </c>
      <c r="C1056" s="34">
        <v>91</v>
      </c>
      <c r="D1056" s="33" t="s">
        <v>281</v>
      </c>
      <c r="E1056" s="34" t="s">
        <v>743</v>
      </c>
      <c r="F1056" s="33">
        <v>0.06</v>
      </c>
      <c r="G1056" s="33">
        <v>2.9000000000000001E-2</v>
      </c>
      <c r="H1056" s="33">
        <v>25.4</v>
      </c>
      <c r="I1056" s="34" t="s">
        <v>296</v>
      </c>
      <c r="J1056" s="19">
        <f t="shared" si="34"/>
        <v>1.7631788409823697E-3</v>
      </c>
    </row>
    <row r="1057" spans="1:10" x14ac:dyDescent="0.15">
      <c r="A1057" s="34" t="s">
        <v>258</v>
      </c>
      <c r="B1057" s="34" t="s">
        <v>925</v>
      </c>
      <c r="C1057" s="34">
        <v>91</v>
      </c>
      <c r="D1057" s="33" t="s">
        <v>291</v>
      </c>
      <c r="E1057" s="34" t="s">
        <v>743</v>
      </c>
      <c r="F1057" s="33">
        <v>2.1000000000000001E-2</v>
      </c>
      <c r="G1057" s="33">
        <v>4.5999999999999999E-2</v>
      </c>
      <c r="H1057" s="33">
        <v>20</v>
      </c>
      <c r="I1057" s="34" t="s">
        <v>296</v>
      </c>
      <c r="J1057" s="19">
        <f t="shared" si="34"/>
        <v>4.0470765046152749E-4</v>
      </c>
    </row>
    <row r="1058" spans="1:10" x14ac:dyDescent="0.15">
      <c r="A1058" s="34" t="s">
        <v>258</v>
      </c>
      <c r="B1058" s="34" t="s">
        <v>925</v>
      </c>
      <c r="C1058" s="34">
        <v>91</v>
      </c>
      <c r="D1058" s="33" t="s">
        <v>292</v>
      </c>
      <c r="E1058" s="34" t="s">
        <v>743</v>
      </c>
      <c r="F1058" s="33">
        <v>3.3000000000000002E-2</v>
      </c>
      <c r="G1058" s="33">
        <v>0.09</v>
      </c>
      <c r="H1058" s="33">
        <v>0</v>
      </c>
      <c r="I1058" s="34" t="s">
        <v>296</v>
      </c>
      <c r="J1058" s="19">
        <f t="shared" si="34"/>
        <v>3.4591194968553466E-4</v>
      </c>
    </row>
    <row r="1059" spans="1:10" x14ac:dyDescent="0.15">
      <c r="A1059" s="34"/>
      <c r="B1059" s="34"/>
      <c r="C1059" s="34"/>
      <c r="D1059" s="33">
        <f>F1059/E1059</f>
        <v>7.8919537803408935E-2</v>
      </c>
      <c r="E1059" s="34">
        <f>SUM(J1022:J1058)</f>
        <v>8.5627621445603652E-2</v>
      </c>
      <c r="F1059" s="33">
        <f>SUM(F1022:F1058)/1040</f>
        <v>6.7576923076923074E-3</v>
      </c>
      <c r="G1059" s="33"/>
      <c r="H1059" s="33"/>
      <c r="I1059" s="34"/>
    </row>
    <row r="1060" spans="1:10" x14ac:dyDescent="0.15">
      <c r="A1060" s="32" t="s">
        <v>297</v>
      </c>
      <c r="B1060" s="32" t="s">
        <v>925</v>
      </c>
      <c r="C1060" s="32">
        <v>2160</v>
      </c>
      <c r="D1060" s="44" t="s">
        <v>299</v>
      </c>
      <c r="E1060" s="32" t="s">
        <v>742</v>
      </c>
      <c r="F1060" s="44">
        <v>1.7108400000000001</v>
      </c>
      <c r="G1060" s="44">
        <v>0.154</v>
      </c>
      <c r="H1060" s="44">
        <v>17</v>
      </c>
      <c r="I1060" s="32" t="s">
        <v>298</v>
      </c>
      <c r="J1060" s="19">
        <f>F1060*COS(RADIANS(H1060))/(1060*G1060)</f>
        <v>1.0022570624184022E-2</v>
      </c>
    </row>
    <row r="1061" spans="1:10" x14ac:dyDescent="0.15">
      <c r="A1061" s="32" t="s">
        <v>297</v>
      </c>
      <c r="B1061" s="32" t="s">
        <v>925</v>
      </c>
      <c r="C1061" s="32">
        <v>2160</v>
      </c>
      <c r="D1061" s="44" t="s">
        <v>300</v>
      </c>
      <c r="E1061" s="32" t="s">
        <v>742</v>
      </c>
      <c r="F1061" s="44">
        <v>5.7717000000000009</v>
      </c>
      <c r="G1061" s="44">
        <v>0.24</v>
      </c>
      <c r="H1061" s="44">
        <v>18</v>
      </c>
      <c r="I1061" s="32" t="s">
        <v>298</v>
      </c>
      <c r="J1061" s="19">
        <f>F1061*COS(RADIANS(H1061))/(1060*G1061)</f>
        <v>2.15770947134463E-2</v>
      </c>
    </row>
    <row r="1062" spans="1:10" x14ac:dyDescent="0.15">
      <c r="A1062" s="32" t="s">
        <v>297</v>
      </c>
      <c r="B1062" s="32" t="s">
        <v>925</v>
      </c>
      <c r="C1062" s="32">
        <v>2160</v>
      </c>
      <c r="D1062" s="44" t="s">
        <v>301</v>
      </c>
      <c r="E1062" s="32" t="s">
        <v>742</v>
      </c>
      <c r="F1062" s="44">
        <v>0.88722000000000001</v>
      </c>
      <c r="G1062" s="44">
        <v>7.2000000000000008E-2</v>
      </c>
      <c r="H1062" s="44">
        <v>22</v>
      </c>
      <c r="I1062" s="32" t="s">
        <v>298</v>
      </c>
      <c r="J1062" s="19">
        <f t="shared" ref="J1062:J1133" si="36">F1062*COS(RADIANS(H1062))/(1060*G1062)</f>
        <v>1.0778512309338902E-2</v>
      </c>
    </row>
    <row r="1063" spans="1:10" x14ac:dyDescent="0.15">
      <c r="A1063" s="32" t="s">
        <v>297</v>
      </c>
      <c r="B1063" s="32" t="s">
        <v>925</v>
      </c>
      <c r="C1063" s="32">
        <v>2160</v>
      </c>
      <c r="D1063" s="44" t="s">
        <v>302</v>
      </c>
      <c r="E1063" s="32" t="s">
        <v>742</v>
      </c>
      <c r="F1063" s="44">
        <v>1.83274</v>
      </c>
      <c r="G1063" s="44">
        <v>0.14699999999999999</v>
      </c>
      <c r="H1063" s="44">
        <v>0</v>
      </c>
      <c r="I1063" s="32" t="s">
        <v>298</v>
      </c>
      <c r="J1063" s="19">
        <f t="shared" si="36"/>
        <v>1.1761904761904763E-2</v>
      </c>
    </row>
    <row r="1064" spans="1:10" x14ac:dyDescent="0.15">
      <c r="A1064" s="32" t="s">
        <v>297</v>
      </c>
      <c r="B1064" s="32" t="s">
        <v>925</v>
      </c>
      <c r="C1064" s="32">
        <v>2160</v>
      </c>
      <c r="D1064" s="44" t="s">
        <v>303</v>
      </c>
      <c r="E1064" s="32" t="s">
        <v>742</v>
      </c>
      <c r="F1064" s="44">
        <v>3.9750000000000001</v>
      </c>
      <c r="G1064" s="44">
        <v>0.17</v>
      </c>
      <c r="H1064" s="44">
        <v>14</v>
      </c>
      <c r="I1064" s="32" t="s">
        <v>298</v>
      </c>
      <c r="J1064" s="19">
        <f t="shared" si="36"/>
        <v>2.1403582197264626E-2</v>
      </c>
    </row>
    <row r="1065" spans="1:10" x14ac:dyDescent="0.15">
      <c r="A1065" s="32" t="s">
        <v>297</v>
      </c>
      <c r="B1065" s="32" t="s">
        <v>925</v>
      </c>
      <c r="C1065" s="32">
        <v>2160</v>
      </c>
      <c r="D1065" s="44" t="s">
        <v>304</v>
      </c>
      <c r="E1065" s="32" t="s">
        <v>742</v>
      </c>
      <c r="F1065" s="44">
        <v>17.641580000000001</v>
      </c>
      <c r="G1065" s="44">
        <v>0.58799999999999997</v>
      </c>
      <c r="H1065" s="44">
        <v>0</v>
      </c>
      <c r="I1065" s="32" t="s">
        <v>298</v>
      </c>
      <c r="J1065" s="19">
        <f t="shared" si="36"/>
        <v>2.8304421768707486E-2</v>
      </c>
    </row>
    <row r="1066" spans="1:10" x14ac:dyDescent="0.15">
      <c r="A1066" s="32" t="s">
        <v>297</v>
      </c>
      <c r="B1066" s="32" t="s">
        <v>925</v>
      </c>
      <c r="C1066" s="32">
        <v>2160</v>
      </c>
      <c r="D1066" s="44" t="s">
        <v>305</v>
      </c>
      <c r="E1066" s="32" t="s">
        <v>742</v>
      </c>
      <c r="F1066" s="44">
        <v>8.926260000000001</v>
      </c>
      <c r="G1066" s="44">
        <v>0.51600000000000001</v>
      </c>
      <c r="H1066" s="44">
        <v>0</v>
      </c>
      <c r="I1066" s="32" t="s">
        <v>298</v>
      </c>
      <c r="J1066" s="19">
        <f t="shared" si="36"/>
        <v>1.6319767441860467E-2</v>
      </c>
    </row>
    <row r="1067" spans="1:10" x14ac:dyDescent="0.15">
      <c r="A1067" s="32" t="s">
        <v>297</v>
      </c>
      <c r="B1067" s="32" t="s">
        <v>925</v>
      </c>
      <c r="C1067" s="32">
        <v>2160</v>
      </c>
      <c r="D1067" s="44" t="s">
        <v>306</v>
      </c>
      <c r="E1067" s="32" t="s">
        <v>742</v>
      </c>
      <c r="F1067" s="44">
        <v>8.7153200000000002</v>
      </c>
      <c r="G1067" s="44">
        <v>0.66200000000000003</v>
      </c>
      <c r="H1067" s="44">
        <v>0</v>
      </c>
      <c r="I1067" s="32" t="s">
        <v>298</v>
      </c>
      <c r="J1067" s="19">
        <f t="shared" si="36"/>
        <v>1.2419939577039275E-2</v>
      </c>
    </row>
    <row r="1068" spans="1:10" x14ac:dyDescent="0.15">
      <c r="A1068" s="32" t="s">
        <v>297</v>
      </c>
      <c r="B1068" s="32" t="s">
        <v>925</v>
      </c>
      <c r="C1068" s="32">
        <v>2160</v>
      </c>
      <c r="D1068" s="44" t="s">
        <v>307</v>
      </c>
      <c r="E1068" s="32" t="s">
        <v>742</v>
      </c>
      <c r="F1068" s="44">
        <v>4.4329200000000002</v>
      </c>
      <c r="G1068" s="44">
        <v>0.41399999999999998</v>
      </c>
      <c r="H1068" s="44">
        <v>0</v>
      </c>
      <c r="I1068" s="32" t="s">
        <v>298</v>
      </c>
      <c r="J1068" s="19">
        <f t="shared" si="36"/>
        <v>1.010144927536232E-2</v>
      </c>
    </row>
    <row r="1069" spans="1:10" x14ac:dyDescent="0.15">
      <c r="A1069" s="32" t="s">
        <v>297</v>
      </c>
      <c r="B1069" s="32" t="s">
        <v>925</v>
      </c>
      <c r="C1069" s="32">
        <v>2160</v>
      </c>
      <c r="D1069" s="44" t="s">
        <v>308</v>
      </c>
      <c r="E1069" s="32" t="s">
        <v>742</v>
      </c>
      <c r="F1069" s="44">
        <v>4.5134800000000004</v>
      </c>
      <c r="G1069" s="44">
        <v>0.42100000000000004</v>
      </c>
      <c r="H1069" s="44">
        <v>0</v>
      </c>
      <c r="I1069" s="32" t="s">
        <v>298</v>
      </c>
      <c r="J1069" s="19">
        <f t="shared" si="36"/>
        <v>1.0114014251781472E-2</v>
      </c>
    </row>
    <row r="1070" spans="1:10" x14ac:dyDescent="0.15">
      <c r="A1070" s="32" t="s">
        <v>297</v>
      </c>
      <c r="B1070" s="32" t="s">
        <v>925</v>
      </c>
      <c r="C1070" s="32">
        <v>2160</v>
      </c>
      <c r="D1070" s="44" t="s">
        <v>211</v>
      </c>
      <c r="E1070" s="32" t="s">
        <v>742</v>
      </c>
      <c r="F1070" s="44">
        <v>1.8338000000000001</v>
      </c>
      <c r="G1070" s="44">
        <v>0.23600000000000002</v>
      </c>
      <c r="H1070" s="44">
        <v>0</v>
      </c>
      <c r="I1070" s="32" t="s">
        <v>298</v>
      </c>
      <c r="J1070" s="19">
        <f t="shared" si="36"/>
        <v>7.330508474576271E-3</v>
      </c>
    </row>
    <row r="1071" spans="1:10" x14ac:dyDescent="0.15">
      <c r="A1071" s="32" t="s">
        <v>297</v>
      </c>
      <c r="B1071" s="32" t="s">
        <v>925</v>
      </c>
      <c r="C1071" s="32">
        <v>2160</v>
      </c>
      <c r="D1071" s="44" t="s">
        <v>312</v>
      </c>
      <c r="E1071" s="32" t="s">
        <v>742</v>
      </c>
      <c r="F1071" s="44">
        <v>2.5630799999999998</v>
      </c>
      <c r="G1071" s="44">
        <v>0.21</v>
      </c>
      <c r="H1071" s="44">
        <v>0</v>
      </c>
      <c r="I1071" s="32" t="s">
        <v>298</v>
      </c>
      <c r="J1071" s="19">
        <f t="shared" si="36"/>
        <v>1.1514285714285713E-2</v>
      </c>
    </row>
    <row r="1072" spans="1:10" x14ac:dyDescent="0.15">
      <c r="A1072" s="32" t="s">
        <v>297</v>
      </c>
      <c r="B1072" s="32" t="s">
        <v>925</v>
      </c>
      <c r="C1072" s="32">
        <v>2160</v>
      </c>
      <c r="D1072" s="44" t="s">
        <v>313</v>
      </c>
      <c r="E1072" s="32" t="s">
        <v>742</v>
      </c>
      <c r="F1072" s="44">
        <v>0.68052000000000001</v>
      </c>
      <c r="G1072" s="44">
        <v>9.8000000000000004E-2</v>
      </c>
      <c r="H1072" s="44">
        <v>0</v>
      </c>
      <c r="I1072" s="32" t="s">
        <v>298</v>
      </c>
      <c r="J1072" s="19">
        <f t="shared" si="36"/>
        <v>6.5510204081632648E-3</v>
      </c>
    </row>
    <row r="1073" spans="1:10" x14ac:dyDescent="0.15">
      <c r="A1073" s="32" t="s">
        <v>297</v>
      </c>
      <c r="B1073" s="32" t="s">
        <v>925</v>
      </c>
      <c r="C1073" s="32">
        <v>2160</v>
      </c>
      <c r="D1073" s="44" t="s">
        <v>314</v>
      </c>
      <c r="E1073" s="32" t="s">
        <v>742</v>
      </c>
      <c r="F1073" s="44">
        <v>3.25102</v>
      </c>
      <c r="G1073" s="44">
        <v>0.29299999999999998</v>
      </c>
      <c r="H1073" s="44">
        <v>0</v>
      </c>
      <c r="I1073" s="32" t="s">
        <v>298</v>
      </c>
      <c r="J1073" s="19">
        <f t="shared" si="36"/>
        <v>1.0467576791808875E-2</v>
      </c>
    </row>
    <row r="1074" spans="1:10" x14ac:dyDescent="0.15">
      <c r="A1074" s="32" t="s">
        <v>297</v>
      </c>
      <c r="B1074" s="32" t="s">
        <v>925</v>
      </c>
      <c r="C1074" s="32">
        <v>2160</v>
      </c>
      <c r="D1074" s="44" t="s">
        <v>315</v>
      </c>
      <c r="E1074" s="32" t="s">
        <v>742</v>
      </c>
      <c r="F1074" s="44">
        <v>4.0068000000000001</v>
      </c>
      <c r="G1074" s="44">
        <v>0.32200000000000001</v>
      </c>
      <c r="H1074" s="44">
        <v>0</v>
      </c>
      <c r="I1074" s="32" t="s">
        <v>298</v>
      </c>
      <c r="J1074" s="19">
        <f t="shared" si="36"/>
        <v>1.173913043478261E-2</v>
      </c>
    </row>
    <row r="1075" spans="1:10" x14ac:dyDescent="0.15">
      <c r="A1075" s="32" t="s">
        <v>297</v>
      </c>
      <c r="B1075" s="32" t="s">
        <v>925</v>
      </c>
      <c r="C1075" s="32">
        <v>2160</v>
      </c>
      <c r="D1075" s="44" t="s">
        <v>316</v>
      </c>
      <c r="E1075" s="32" t="s">
        <v>742</v>
      </c>
      <c r="F1075" s="44">
        <v>2.6966400000000004</v>
      </c>
      <c r="G1075" s="44">
        <v>0.26700000000000002</v>
      </c>
      <c r="H1075" s="44">
        <v>0</v>
      </c>
      <c r="I1075" s="32" t="s">
        <v>298</v>
      </c>
      <c r="J1075" s="19">
        <f t="shared" si="36"/>
        <v>9.528089887640449E-3</v>
      </c>
    </row>
    <row r="1076" spans="1:10" x14ac:dyDescent="0.15">
      <c r="A1076" s="32" t="s">
        <v>297</v>
      </c>
      <c r="B1076" s="32" t="s">
        <v>925</v>
      </c>
      <c r="C1076" s="32">
        <v>2160</v>
      </c>
      <c r="D1076" s="44" t="s">
        <v>167</v>
      </c>
      <c r="E1076" s="32" t="s">
        <v>742</v>
      </c>
      <c r="F1076" s="44">
        <v>0.72080000000000011</v>
      </c>
      <c r="G1076" s="44">
        <v>0.45399999999999996</v>
      </c>
      <c r="H1076" s="44">
        <v>0</v>
      </c>
      <c r="I1076" s="32" t="s">
        <v>298</v>
      </c>
      <c r="J1076" s="19">
        <f t="shared" si="36"/>
        <v>1.4977973568281943E-3</v>
      </c>
    </row>
    <row r="1077" spans="1:10" x14ac:dyDescent="0.15">
      <c r="A1077" s="32" t="s">
        <v>297</v>
      </c>
      <c r="B1077" s="32" t="s">
        <v>925</v>
      </c>
      <c r="C1077" s="32">
        <v>2160</v>
      </c>
      <c r="D1077" s="44" t="s">
        <v>175</v>
      </c>
      <c r="E1077" s="32" t="s">
        <v>742</v>
      </c>
      <c r="F1077" s="44">
        <v>3.0602200000000002</v>
      </c>
      <c r="G1077" s="44">
        <v>0.308</v>
      </c>
      <c r="H1077" s="44">
        <v>0</v>
      </c>
      <c r="I1077" s="32" t="s">
        <v>298</v>
      </c>
      <c r="J1077" s="19">
        <f t="shared" si="36"/>
        <v>9.3733766233766239E-3</v>
      </c>
    </row>
    <row r="1078" spans="1:10" x14ac:dyDescent="0.15">
      <c r="A1078" s="32" t="s">
        <v>297</v>
      </c>
      <c r="B1078" s="32" t="s">
        <v>925</v>
      </c>
      <c r="C1078" s="32">
        <v>2160</v>
      </c>
      <c r="D1078" s="44" t="s">
        <v>184</v>
      </c>
      <c r="E1078" s="32" t="s">
        <v>742</v>
      </c>
      <c r="F1078" s="44">
        <v>0.13250000000000001</v>
      </c>
      <c r="G1078" s="44">
        <v>0.111</v>
      </c>
      <c r="H1078" s="44">
        <v>0</v>
      </c>
      <c r="I1078" s="32" t="s">
        <v>298</v>
      </c>
      <c r="J1078" s="19">
        <f t="shared" si="36"/>
        <v>1.1261261261261261E-3</v>
      </c>
    </row>
    <row r="1079" spans="1:10" x14ac:dyDescent="0.15">
      <c r="A1079" s="32" t="s">
        <v>297</v>
      </c>
      <c r="B1079" s="32" t="s">
        <v>925</v>
      </c>
      <c r="C1079" s="32">
        <v>2160</v>
      </c>
      <c r="D1079" s="44" t="s">
        <v>321</v>
      </c>
      <c r="E1079" s="32" t="s">
        <v>742</v>
      </c>
      <c r="F1079" s="44">
        <v>2.3002000000000002</v>
      </c>
      <c r="G1079" s="44">
        <v>0.45299999999999996</v>
      </c>
      <c r="H1079" s="44">
        <v>0</v>
      </c>
      <c r="I1079" s="32" t="s">
        <v>298</v>
      </c>
      <c r="J1079" s="19">
        <f t="shared" si="36"/>
        <v>4.7902869757174404E-3</v>
      </c>
    </row>
    <row r="1080" spans="1:10" x14ac:dyDescent="0.15">
      <c r="A1080" s="32" t="s">
        <v>297</v>
      </c>
      <c r="B1080" s="32" t="s">
        <v>925</v>
      </c>
      <c r="C1080" s="32">
        <v>2160</v>
      </c>
      <c r="D1080" s="44" t="s">
        <v>322</v>
      </c>
      <c r="E1080" s="32" t="s">
        <v>743</v>
      </c>
      <c r="F1080" s="44">
        <v>0.59996000000000005</v>
      </c>
      <c r="G1080" s="44">
        <v>2.6000000000000002E-2</v>
      </c>
      <c r="H1080" s="44">
        <v>39</v>
      </c>
      <c r="I1080" s="32" t="s">
        <v>298</v>
      </c>
      <c r="J1080" s="19">
        <f t="shared" si="36"/>
        <v>1.6917869776332521E-2</v>
      </c>
    </row>
    <row r="1081" spans="1:10" x14ac:dyDescent="0.15">
      <c r="A1081" s="32" t="s">
        <v>297</v>
      </c>
      <c r="B1081" s="32" t="s">
        <v>925</v>
      </c>
      <c r="C1081" s="32">
        <v>2160</v>
      </c>
      <c r="D1081" s="44" t="s">
        <v>323</v>
      </c>
      <c r="E1081" s="32" t="s">
        <v>743</v>
      </c>
      <c r="F1081" s="44">
        <v>0.57134000000000007</v>
      </c>
      <c r="G1081" s="44">
        <v>6.0999999999999999E-2</v>
      </c>
      <c r="H1081" s="44">
        <v>37</v>
      </c>
      <c r="I1081" s="32" t="s">
        <v>298</v>
      </c>
      <c r="J1081" s="19">
        <f t="shared" si="36"/>
        <v>7.056795736319523E-3</v>
      </c>
    </row>
    <row r="1082" spans="1:10" x14ac:dyDescent="0.15">
      <c r="A1082" s="32" t="s">
        <v>297</v>
      </c>
      <c r="B1082" s="32" t="s">
        <v>925</v>
      </c>
      <c r="C1082" s="32">
        <v>2160</v>
      </c>
      <c r="D1082" s="44" t="s">
        <v>324</v>
      </c>
      <c r="E1082" s="32" t="s">
        <v>743</v>
      </c>
      <c r="F1082" s="44">
        <v>0.38584000000000002</v>
      </c>
      <c r="G1082" s="44">
        <v>0.14599999999999999</v>
      </c>
      <c r="H1082" s="44">
        <v>14</v>
      </c>
      <c r="I1082" s="32" t="s">
        <v>298</v>
      </c>
      <c r="J1082" s="19">
        <f t="shared" si="36"/>
        <v>2.4190934545511148E-3</v>
      </c>
    </row>
    <row r="1083" spans="1:10" x14ac:dyDescent="0.15">
      <c r="A1083" s="32" t="s">
        <v>297</v>
      </c>
      <c r="B1083" s="32" t="s">
        <v>925</v>
      </c>
      <c r="C1083" s="32">
        <v>2160</v>
      </c>
      <c r="D1083" s="44" t="s">
        <v>325</v>
      </c>
      <c r="E1083" s="32" t="s">
        <v>743</v>
      </c>
      <c r="F1083" s="44">
        <v>1.272</v>
      </c>
      <c r="G1083" s="44">
        <v>0.192</v>
      </c>
      <c r="H1083" s="44">
        <v>25</v>
      </c>
      <c r="I1083" s="32" t="s">
        <v>298</v>
      </c>
      <c r="J1083" s="19">
        <f t="shared" si="36"/>
        <v>5.6644236689790623E-3</v>
      </c>
    </row>
    <row r="1084" spans="1:10" x14ac:dyDescent="0.15">
      <c r="A1084" s="32" t="s">
        <v>297</v>
      </c>
      <c r="B1084" s="32" t="s">
        <v>925</v>
      </c>
      <c r="C1084" s="32">
        <v>2160</v>
      </c>
      <c r="D1084" s="44" t="s">
        <v>334</v>
      </c>
      <c r="E1084" s="32" t="s">
        <v>743</v>
      </c>
      <c r="F1084" s="44">
        <v>9.6460000000000004E-2</v>
      </c>
      <c r="G1084" s="44">
        <v>0.105</v>
      </c>
      <c r="H1084" s="44">
        <v>18</v>
      </c>
      <c r="I1084" s="32" t="s">
        <v>298</v>
      </c>
      <c r="J1084" s="19">
        <f t="shared" si="36"/>
        <v>8.2424898078913315E-4</v>
      </c>
    </row>
    <row r="1085" spans="1:10" x14ac:dyDescent="0.15">
      <c r="A1085" s="32" t="s">
        <v>297</v>
      </c>
      <c r="B1085" s="32" t="s">
        <v>925</v>
      </c>
      <c r="C1085" s="32">
        <v>2160</v>
      </c>
      <c r="D1085" s="44" t="s">
        <v>333</v>
      </c>
      <c r="E1085" s="32" t="s">
        <v>743</v>
      </c>
      <c r="F1085" s="44">
        <v>1.05894</v>
      </c>
      <c r="G1085" s="44">
        <v>2.7000000000000003E-2</v>
      </c>
      <c r="H1085" s="44">
        <v>32</v>
      </c>
      <c r="I1085" s="32" t="s">
        <v>298</v>
      </c>
      <c r="J1085" s="19">
        <f t="shared" si="36"/>
        <v>3.1377779557787755E-2</v>
      </c>
    </row>
    <row r="1086" spans="1:10" x14ac:dyDescent="0.15">
      <c r="A1086" s="31" t="s">
        <v>335</v>
      </c>
      <c r="B1086" s="31" t="s">
        <v>925</v>
      </c>
      <c r="C1086" s="31">
        <v>2065</v>
      </c>
      <c r="D1086" s="43" t="s">
        <v>299</v>
      </c>
      <c r="E1086" s="31" t="s">
        <v>742</v>
      </c>
      <c r="F1086" s="43">
        <v>14.24958</v>
      </c>
      <c r="G1086" s="43">
        <v>0.26</v>
      </c>
      <c r="H1086" s="43">
        <v>31</v>
      </c>
      <c r="I1086" s="31" t="s">
        <v>298</v>
      </c>
      <c r="J1086" s="19">
        <f t="shared" si="36"/>
        <v>4.43188462436096E-2</v>
      </c>
    </row>
    <row r="1087" spans="1:10" x14ac:dyDescent="0.15">
      <c r="A1087" s="31" t="s">
        <v>335</v>
      </c>
      <c r="B1087" s="31" t="s">
        <v>925</v>
      </c>
      <c r="C1087" s="31">
        <v>2065</v>
      </c>
      <c r="D1087" s="43" t="s">
        <v>300</v>
      </c>
      <c r="E1087" s="31" t="s">
        <v>742</v>
      </c>
      <c r="F1087" s="43">
        <v>8.249979999999999</v>
      </c>
      <c r="G1087" s="43">
        <v>0.19699999999999998</v>
      </c>
      <c r="H1087" s="43">
        <v>29</v>
      </c>
      <c r="I1087" s="31" t="s">
        <v>298</v>
      </c>
      <c r="J1087" s="19">
        <f t="shared" si="36"/>
        <v>3.4554137972923435E-2</v>
      </c>
    </row>
    <row r="1088" spans="1:10" x14ac:dyDescent="0.15">
      <c r="A1088" s="31" t="s">
        <v>335</v>
      </c>
      <c r="B1088" s="31" t="s">
        <v>925</v>
      </c>
      <c r="C1088" s="31">
        <v>2065</v>
      </c>
      <c r="D1088" s="43" t="s">
        <v>301</v>
      </c>
      <c r="E1088" s="31" t="s">
        <v>742</v>
      </c>
      <c r="F1088" s="43">
        <v>0.68794000000000011</v>
      </c>
      <c r="G1088" s="43">
        <v>3.7999999999999999E-2</v>
      </c>
      <c r="H1088" s="43">
        <v>31</v>
      </c>
      <c r="I1088" s="31" t="s">
        <v>298</v>
      </c>
      <c r="J1088" s="19">
        <f t="shared" si="36"/>
        <v>1.4639515214622919E-2</v>
      </c>
    </row>
    <row r="1089" spans="1:10" x14ac:dyDescent="0.15">
      <c r="A1089" s="31" t="s">
        <v>335</v>
      </c>
      <c r="B1089" s="31" t="s">
        <v>925</v>
      </c>
      <c r="C1089" s="31">
        <v>2065</v>
      </c>
      <c r="D1089" s="43" t="s">
        <v>302</v>
      </c>
      <c r="E1089" s="31" t="s">
        <v>742</v>
      </c>
      <c r="F1089" s="43">
        <v>1.5794000000000001</v>
      </c>
      <c r="G1089" s="43">
        <v>7.4999999999999997E-2</v>
      </c>
      <c r="H1089" s="43">
        <v>33</v>
      </c>
      <c r="I1089" s="31" t="s">
        <v>298</v>
      </c>
      <c r="J1089" s="19">
        <f t="shared" si="36"/>
        <v>1.666158861651576E-2</v>
      </c>
    </row>
    <row r="1090" spans="1:10" x14ac:dyDescent="0.15">
      <c r="A1090" s="31" t="s">
        <v>335</v>
      </c>
      <c r="B1090" s="31" t="s">
        <v>925</v>
      </c>
      <c r="C1090" s="31">
        <v>2065</v>
      </c>
      <c r="D1090" s="43" t="s">
        <v>303</v>
      </c>
      <c r="E1090" s="31" t="s">
        <v>742</v>
      </c>
      <c r="F1090" s="43">
        <v>5.9996</v>
      </c>
      <c r="G1090" s="43">
        <v>8.4000000000000005E-2</v>
      </c>
      <c r="H1090" s="43">
        <v>48</v>
      </c>
      <c r="I1090" s="31" t="s">
        <v>298</v>
      </c>
      <c r="J1090" s="19">
        <f t="shared" si="36"/>
        <v>4.5086657523704013E-2</v>
      </c>
    </row>
    <row r="1091" spans="1:10" x14ac:dyDescent="0.15">
      <c r="A1091" s="31" t="s">
        <v>335</v>
      </c>
      <c r="B1091" s="31" t="s">
        <v>925</v>
      </c>
      <c r="C1091" s="31">
        <v>2065</v>
      </c>
      <c r="D1091" s="43" t="s">
        <v>305</v>
      </c>
      <c r="E1091" s="31" t="s">
        <v>742</v>
      </c>
      <c r="F1091" s="43">
        <v>9.1997400000000003</v>
      </c>
      <c r="G1091" s="43">
        <v>0.29699999999999999</v>
      </c>
      <c r="H1091" s="43">
        <v>37</v>
      </c>
      <c r="I1091" s="31" t="s">
        <v>298</v>
      </c>
      <c r="J1091" s="19">
        <f t="shared" si="36"/>
        <v>2.3337904349159781E-2</v>
      </c>
    </row>
    <row r="1092" spans="1:10" x14ac:dyDescent="0.15">
      <c r="A1092" s="31" t="s">
        <v>335</v>
      </c>
      <c r="B1092" s="31" t="s">
        <v>925</v>
      </c>
      <c r="C1092" s="31">
        <v>2065</v>
      </c>
      <c r="D1092" s="43" t="s">
        <v>307</v>
      </c>
      <c r="E1092" s="31" t="s">
        <v>742</v>
      </c>
      <c r="F1092" s="43">
        <v>5.3996400000000007</v>
      </c>
      <c r="G1092" s="43">
        <v>0.13300000000000001</v>
      </c>
      <c r="H1092" s="43">
        <v>11</v>
      </c>
      <c r="I1092" s="31" t="s">
        <v>298</v>
      </c>
      <c r="J1092" s="19">
        <f t="shared" si="36"/>
        <v>3.7597059191596997E-2</v>
      </c>
    </row>
    <row r="1093" spans="1:10" x14ac:dyDescent="0.15">
      <c r="A1093" s="31" t="s">
        <v>335</v>
      </c>
      <c r="B1093" s="31" t="s">
        <v>925</v>
      </c>
      <c r="C1093" s="31">
        <v>2065</v>
      </c>
      <c r="D1093" s="43" t="s">
        <v>309</v>
      </c>
      <c r="E1093" s="31" t="s">
        <v>742</v>
      </c>
      <c r="F1093" s="43">
        <v>1.3833000000000002</v>
      </c>
      <c r="G1093" s="43">
        <v>0.59499999999999997</v>
      </c>
      <c r="H1093" s="43">
        <v>0</v>
      </c>
      <c r="I1093" s="31" t="s">
        <v>298</v>
      </c>
      <c r="J1093" s="19">
        <f t="shared" si="36"/>
        <v>2.1932773109243704E-3</v>
      </c>
    </row>
    <row r="1094" spans="1:10" x14ac:dyDescent="0.15">
      <c r="A1094" s="31" t="s">
        <v>335</v>
      </c>
      <c r="B1094" s="31" t="s">
        <v>925</v>
      </c>
      <c r="C1094" s="31">
        <v>2065</v>
      </c>
      <c r="D1094" s="43" t="s">
        <v>310</v>
      </c>
      <c r="E1094" s="31" t="s">
        <v>742</v>
      </c>
      <c r="F1094" s="43">
        <v>2.6001800000000004</v>
      </c>
      <c r="G1094" s="43">
        <v>0.27</v>
      </c>
      <c r="H1094" s="43">
        <v>31</v>
      </c>
      <c r="I1094" s="31" t="s">
        <v>298</v>
      </c>
      <c r="J1094" s="19">
        <f t="shared" si="36"/>
        <v>7.7875236615640052E-3</v>
      </c>
    </row>
    <row r="1095" spans="1:10" x14ac:dyDescent="0.15">
      <c r="A1095" s="31" t="s">
        <v>335</v>
      </c>
      <c r="B1095" s="31" t="s">
        <v>925</v>
      </c>
      <c r="C1095" s="31">
        <v>2065</v>
      </c>
      <c r="D1095" s="43" t="s">
        <v>311</v>
      </c>
      <c r="E1095" s="31" t="s">
        <v>742</v>
      </c>
      <c r="F1095" s="43">
        <v>3.5001200000000003</v>
      </c>
      <c r="G1095" s="43">
        <v>0.45399999999999996</v>
      </c>
      <c r="H1095" s="43">
        <v>0</v>
      </c>
      <c r="I1095" s="31" t="s">
        <v>298</v>
      </c>
      <c r="J1095" s="19">
        <f t="shared" si="36"/>
        <v>7.273127753303966E-3</v>
      </c>
    </row>
    <row r="1096" spans="1:10" x14ac:dyDescent="0.15">
      <c r="A1096" s="31" t="s">
        <v>335</v>
      </c>
      <c r="B1096" s="31" t="s">
        <v>925</v>
      </c>
      <c r="C1096" s="31">
        <v>2065</v>
      </c>
      <c r="D1096" s="43" t="s">
        <v>211</v>
      </c>
      <c r="E1096" s="31" t="s">
        <v>742</v>
      </c>
      <c r="F1096" s="43">
        <v>0.86284000000000005</v>
      </c>
      <c r="G1096" s="43">
        <v>0.113</v>
      </c>
      <c r="H1096" s="43">
        <v>29</v>
      </c>
      <c r="I1096" s="31" t="s">
        <v>298</v>
      </c>
      <c r="J1096" s="19">
        <f t="shared" si="36"/>
        <v>6.3003578903669749E-3</v>
      </c>
    </row>
    <row r="1097" spans="1:10" x14ac:dyDescent="0.15">
      <c r="A1097" s="31" t="s">
        <v>335</v>
      </c>
      <c r="B1097" s="31" t="s">
        <v>925</v>
      </c>
      <c r="C1097" s="31">
        <v>2065</v>
      </c>
      <c r="D1097" s="43" t="s">
        <v>312</v>
      </c>
      <c r="E1097" s="31" t="s">
        <v>742</v>
      </c>
      <c r="F1097" s="43">
        <v>0.29468</v>
      </c>
      <c r="G1097" s="43">
        <v>0.13800000000000001</v>
      </c>
      <c r="H1097" s="43">
        <v>10</v>
      </c>
      <c r="I1097" s="31" t="s">
        <v>298</v>
      </c>
      <c r="J1097" s="19">
        <f t="shared" si="36"/>
        <v>1.9838880821550276E-3</v>
      </c>
    </row>
    <row r="1098" spans="1:10" x14ac:dyDescent="0.15">
      <c r="A1098" s="31" t="s">
        <v>335</v>
      </c>
      <c r="B1098" s="31" t="s">
        <v>925</v>
      </c>
      <c r="C1098" s="31">
        <v>2065</v>
      </c>
      <c r="D1098" s="43" t="s">
        <v>314</v>
      </c>
      <c r="E1098" s="31" t="s">
        <v>742</v>
      </c>
      <c r="F1098" s="43">
        <v>5.9996</v>
      </c>
      <c r="G1098" s="43">
        <v>0.122</v>
      </c>
      <c r="H1098" s="43">
        <v>31</v>
      </c>
      <c r="I1098" s="31" t="s">
        <v>298</v>
      </c>
      <c r="J1098" s="19">
        <f t="shared" si="36"/>
        <v>3.9766941983393082E-2</v>
      </c>
    </row>
    <row r="1099" spans="1:10" x14ac:dyDescent="0.15">
      <c r="A1099" s="31" t="s">
        <v>335</v>
      </c>
      <c r="B1099" s="31" t="s">
        <v>925</v>
      </c>
      <c r="C1099" s="31">
        <v>2065</v>
      </c>
      <c r="D1099" s="43" t="s">
        <v>315</v>
      </c>
      <c r="E1099" s="31" t="s">
        <v>742</v>
      </c>
      <c r="F1099" s="43">
        <v>5.9996</v>
      </c>
      <c r="G1099" s="43">
        <v>0.26200000000000001</v>
      </c>
      <c r="H1099" s="43">
        <v>34</v>
      </c>
      <c r="I1099" s="31" t="s">
        <v>298</v>
      </c>
      <c r="J1099" s="19">
        <f t="shared" si="36"/>
        <v>1.7909742979624183E-2</v>
      </c>
    </row>
    <row r="1100" spans="1:10" x14ac:dyDescent="0.15">
      <c r="A1100" s="31" t="s">
        <v>335</v>
      </c>
      <c r="B1100" s="31" t="s">
        <v>925</v>
      </c>
      <c r="C1100" s="31">
        <v>2065</v>
      </c>
      <c r="D1100" s="43" t="s">
        <v>316</v>
      </c>
      <c r="E1100" s="31" t="s">
        <v>742</v>
      </c>
      <c r="F1100" s="43">
        <v>3.2001400000000002</v>
      </c>
      <c r="G1100" s="43">
        <v>0.24</v>
      </c>
      <c r="H1100" s="43">
        <v>34</v>
      </c>
      <c r="I1100" s="31" t="s">
        <v>298</v>
      </c>
      <c r="J1100" s="19">
        <f t="shared" si="36"/>
        <v>1.0428601798098628E-2</v>
      </c>
    </row>
    <row r="1101" spans="1:10" x14ac:dyDescent="0.15">
      <c r="A1101" s="31" t="s">
        <v>335</v>
      </c>
      <c r="B1101" s="31" t="s">
        <v>925</v>
      </c>
      <c r="C1101" s="31">
        <v>2065</v>
      </c>
      <c r="D1101" s="43" t="s">
        <v>317</v>
      </c>
      <c r="E1101" s="31" t="s">
        <v>742</v>
      </c>
      <c r="F1101" s="43">
        <v>0.45262000000000002</v>
      </c>
      <c r="G1101" s="43">
        <v>0.15</v>
      </c>
      <c r="H1101" s="43">
        <v>24</v>
      </c>
      <c r="I1101" s="31" t="s">
        <v>298</v>
      </c>
      <c r="J1101" s="19">
        <f t="shared" si="36"/>
        <v>2.6005594027559372E-3</v>
      </c>
    </row>
    <row r="1102" spans="1:10" x14ac:dyDescent="0.15">
      <c r="A1102" s="31" t="s">
        <v>335</v>
      </c>
      <c r="B1102" s="31" t="s">
        <v>925</v>
      </c>
      <c r="C1102" s="31">
        <v>2065</v>
      </c>
      <c r="D1102" s="43" t="s">
        <v>318</v>
      </c>
      <c r="E1102" s="31" t="s">
        <v>742</v>
      </c>
      <c r="F1102" s="43">
        <v>0.10494000000000001</v>
      </c>
      <c r="G1102" s="43">
        <v>0.113</v>
      </c>
      <c r="H1102" s="43">
        <v>32</v>
      </c>
      <c r="I1102" s="31" t="s">
        <v>298</v>
      </c>
      <c r="J1102" s="19">
        <f t="shared" si="36"/>
        <v>7.4298019043793069E-4</v>
      </c>
    </row>
    <row r="1103" spans="1:10" x14ac:dyDescent="0.15">
      <c r="A1103" s="31" t="s">
        <v>335</v>
      </c>
      <c r="B1103" s="31" t="s">
        <v>925</v>
      </c>
      <c r="C1103" s="31">
        <v>2065</v>
      </c>
      <c r="D1103" s="43" t="s">
        <v>175</v>
      </c>
      <c r="E1103" s="31" t="s">
        <v>742</v>
      </c>
      <c r="F1103" s="43">
        <v>3.4004799999999999</v>
      </c>
      <c r="G1103" s="43">
        <v>0.13400000000000001</v>
      </c>
      <c r="H1103" s="43">
        <v>31</v>
      </c>
      <c r="I1103" s="31" t="s">
        <v>298</v>
      </c>
      <c r="J1103" s="19">
        <f t="shared" si="36"/>
        <v>2.0520841049644595E-2</v>
      </c>
    </row>
    <row r="1104" spans="1:10" x14ac:dyDescent="0.15">
      <c r="A1104" s="31" t="s">
        <v>335</v>
      </c>
      <c r="B1104" s="31" t="s">
        <v>925</v>
      </c>
      <c r="C1104" s="31">
        <v>2065</v>
      </c>
      <c r="D1104" s="43" t="s">
        <v>319</v>
      </c>
      <c r="E1104" s="31" t="s">
        <v>742</v>
      </c>
      <c r="F1104" s="43">
        <v>1.7998800000000001</v>
      </c>
      <c r="G1104" s="43">
        <v>5.9000000000000004E-2</v>
      </c>
      <c r="H1104" s="43">
        <v>37</v>
      </c>
      <c r="I1104" s="31" t="s">
        <v>298</v>
      </c>
      <c r="J1104" s="19">
        <f t="shared" si="36"/>
        <v>2.2984459255259375E-2</v>
      </c>
    </row>
    <row r="1105" spans="1:10" x14ac:dyDescent="0.15">
      <c r="A1105" s="31" t="s">
        <v>335</v>
      </c>
      <c r="B1105" s="31" t="s">
        <v>925</v>
      </c>
      <c r="C1105" s="31">
        <v>2065</v>
      </c>
      <c r="D1105" s="43" t="s">
        <v>320</v>
      </c>
      <c r="E1105" s="31" t="s">
        <v>742</v>
      </c>
      <c r="F1105" s="43">
        <v>0.45156000000000002</v>
      </c>
      <c r="G1105" s="43">
        <v>0.16699999999999998</v>
      </c>
      <c r="H1105" s="43">
        <v>39</v>
      </c>
      <c r="I1105" s="31" t="s">
        <v>298</v>
      </c>
      <c r="J1105" s="19">
        <f t="shared" si="36"/>
        <v>1.9824202370099979E-3</v>
      </c>
    </row>
    <row r="1106" spans="1:10" x14ac:dyDescent="0.15">
      <c r="A1106" s="31" t="s">
        <v>335</v>
      </c>
      <c r="B1106" s="31" t="s">
        <v>925</v>
      </c>
      <c r="C1106" s="31">
        <v>2065</v>
      </c>
      <c r="D1106" s="43" t="s">
        <v>321</v>
      </c>
      <c r="E1106" s="31" t="s">
        <v>742</v>
      </c>
      <c r="F1106" s="43">
        <v>4.4996999999999998</v>
      </c>
      <c r="G1106" s="43">
        <v>0.34899999999999998</v>
      </c>
      <c r="H1106" s="43">
        <v>0</v>
      </c>
      <c r="I1106" s="31" t="s">
        <v>298</v>
      </c>
      <c r="J1106" s="19">
        <f t="shared" si="36"/>
        <v>1.2163323782234956E-2</v>
      </c>
    </row>
    <row r="1107" spans="1:10" x14ac:dyDescent="0.15">
      <c r="A1107" s="31" t="s">
        <v>335</v>
      </c>
      <c r="B1107" s="31" t="s">
        <v>925</v>
      </c>
      <c r="C1107" s="31">
        <v>2065</v>
      </c>
      <c r="D1107" s="43" t="s">
        <v>322</v>
      </c>
      <c r="E1107" s="31" t="s">
        <v>743</v>
      </c>
      <c r="F1107" s="43">
        <v>0.94552000000000014</v>
      </c>
      <c r="G1107" s="43">
        <v>0.05</v>
      </c>
      <c r="H1107" s="43">
        <v>41</v>
      </c>
      <c r="I1107" s="31" t="s">
        <v>298</v>
      </c>
      <c r="J1107" s="19">
        <f t="shared" si="36"/>
        <v>1.3464018911174255E-2</v>
      </c>
    </row>
    <row r="1108" spans="1:10" x14ac:dyDescent="0.15">
      <c r="A1108" s="31" t="s">
        <v>335</v>
      </c>
      <c r="B1108" s="31" t="s">
        <v>925</v>
      </c>
      <c r="C1108" s="31">
        <v>2065</v>
      </c>
      <c r="D1108" s="43" t="s">
        <v>323</v>
      </c>
      <c r="E1108" s="31" t="s">
        <v>743</v>
      </c>
      <c r="F1108" s="43">
        <v>1.0027600000000001</v>
      </c>
      <c r="G1108" s="43">
        <v>8.5999999999999993E-2</v>
      </c>
      <c r="H1108" s="43">
        <v>27</v>
      </c>
      <c r="I1108" s="31" t="s">
        <v>298</v>
      </c>
      <c r="J1108" s="19">
        <f t="shared" si="36"/>
        <v>9.8010717660720476E-3</v>
      </c>
    </row>
    <row r="1109" spans="1:10" x14ac:dyDescent="0.15">
      <c r="A1109" s="31" t="s">
        <v>335</v>
      </c>
      <c r="B1109" s="31" t="s">
        <v>925</v>
      </c>
      <c r="C1109" s="31">
        <v>2065</v>
      </c>
      <c r="D1109" s="43" t="s">
        <v>195</v>
      </c>
      <c r="E1109" s="31" t="s">
        <v>743</v>
      </c>
      <c r="F1109" s="43">
        <v>0.12190000000000001</v>
      </c>
      <c r="G1109" s="43">
        <v>3.9E-2</v>
      </c>
      <c r="H1109" s="43">
        <v>24</v>
      </c>
      <c r="I1109" s="31" t="s">
        <v>298</v>
      </c>
      <c r="J1109" s="19">
        <f t="shared" si="36"/>
        <v>2.6937878879204897E-3</v>
      </c>
    </row>
    <row r="1110" spans="1:10" x14ac:dyDescent="0.15">
      <c r="A1110" s="31" t="s">
        <v>335</v>
      </c>
      <c r="B1110" s="31" t="s">
        <v>925</v>
      </c>
      <c r="C1110" s="31">
        <v>2065</v>
      </c>
      <c r="D1110" s="43" t="s">
        <v>324</v>
      </c>
      <c r="E1110" s="31" t="s">
        <v>743</v>
      </c>
      <c r="F1110" s="43">
        <v>0.92537999999999998</v>
      </c>
      <c r="G1110" s="43">
        <v>0.14699999999999999</v>
      </c>
      <c r="H1110" s="43">
        <v>11</v>
      </c>
      <c r="I1110" s="31" t="s">
        <v>298</v>
      </c>
      <c r="J1110" s="19">
        <f t="shared" si="36"/>
        <v>5.8296634772095962E-3</v>
      </c>
    </row>
    <row r="1111" spans="1:10" x14ac:dyDescent="0.15">
      <c r="A1111" s="31" t="s">
        <v>335</v>
      </c>
      <c r="B1111" s="31" t="s">
        <v>925</v>
      </c>
      <c r="C1111" s="31">
        <v>2065</v>
      </c>
      <c r="D1111" s="43" t="s">
        <v>326</v>
      </c>
      <c r="E1111" s="31" t="s">
        <v>743</v>
      </c>
      <c r="F1111" s="43">
        <v>0.43460000000000004</v>
      </c>
      <c r="G1111" s="43">
        <v>4.0999999999999995E-2</v>
      </c>
      <c r="H1111" s="43">
        <v>43</v>
      </c>
      <c r="I1111" s="31" t="s">
        <v>298</v>
      </c>
      <c r="J1111" s="19">
        <f t="shared" si="36"/>
        <v>7.3135370161917061E-3</v>
      </c>
    </row>
    <row r="1112" spans="1:10" x14ac:dyDescent="0.15">
      <c r="A1112" s="31" t="s">
        <v>335</v>
      </c>
      <c r="B1112" s="31" t="s">
        <v>925</v>
      </c>
      <c r="C1112" s="31">
        <v>2065</v>
      </c>
      <c r="D1112" s="43" t="s">
        <v>327</v>
      </c>
      <c r="E1112" s="31" t="s">
        <v>743</v>
      </c>
      <c r="F1112" s="43">
        <v>0.93598000000000003</v>
      </c>
      <c r="G1112" s="43">
        <v>0.113</v>
      </c>
      <c r="H1112" s="43">
        <v>32</v>
      </c>
      <c r="I1112" s="31" t="s">
        <v>298</v>
      </c>
      <c r="J1112" s="19">
        <f t="shared" si="36"/>
        <v>6.6267829106736644E-3</v>
      </c>
    </row>
    <row r="1113" spans="1:10" x14ac:dyDescent="0.15">
      <c r="A1113" s="31" t="s">
        <v>335</v>
      </c>
      <c r="B1113" s="31" t="s">
        <v>925</v>
      </c>
      <c r="C1113" s="31">
        <v>2065</v>
      </c>
      <c r="D1113" s="43" t="s">
        <v>328</v>
      </c>
      <c r="E1113" s="31" t="s">
        <v>743</v>
      </c>
      <c r="F1113" s="43">
        <v>0.22260000000000002</v>
      </c>
      <c r="G1113" s="43">
        <v>5.7999999999999996E-2</v>
      </c>
      <c r="H1113" s="43">
        <v>30</v>
      </c>
      <c r="I1113" s="31" t="s">
        <v>298</v>
      </c>
      <c r="J1113" s="19">
        <f t="shared" si="36"/>
        <v>3.1356092205988301E-3</v>
      </c>
    </row>
    <row r="1114" spans="1:10" x14ac:dyDescent="0.15">
      <c r="A1114" s="31" t="s">
        <v>335</v>
      </c>
      <c r="B1114" s="31" t="s">
        <v>925</v>
      </c>
      <c r="C1114" s="31">
        <v>2065</v>
      </c>
      <c r="D1114" s="43" t="s">
        <v>329</v>
      </c>
      <c r="E1114" s="31" t="s">
        <v>743</v>
      </c>
      <c r="F1114" s="43">
        <v>0.19610000000000002</v>
      </c>
      <c r="G1114" s="43">
        <v>1.8000000000000002E-2</v>
      </c>
      <c r="H1114" s="43">
        <v>38</v>
      </c>
      <c r="I1114" s="31" t="s">
        <v>298</v>
      </c>
      <c r="J1114" s="19">
        <f t="shared" si="36"/>
        <v>8.0989994120690863E-3</v>
      </c>
    </row>
    <row r="1115" spans="1:10" x14ac:dyDescent="0.15">
      <c r="A1115" s="31" t="s">
        <v>335</v>
      </c>
      <c r="B1115" s="31" t="s">
        <v>925</v>
      </c>
      <c r="C1115" s="31">
        <v>2065</v>
      </c>
      <c r="D1115" s="43" t="s">
        <v>330</v>
      </c>
      <c r="E1115" s="31" t="s">
        <v>743</v>
      </c>
      <c r="F1115" s="43">
        <v>1.3621000000000001</v>
      </c>
      <c r="G1115" s="43">
        <v>3.6000000000000004E-2</v>
      </c>
      <c r="H1115" s="43">
        <v>39</v>
      </c>
      <c r="I1115" s="31" t="s">
        <v>298</v>
      </c>
      <c r="J1115" s="19">
        <f t="shared" si="36"/>
        <v>2.7739793346450214E-2</v>
      </c>
    </row>
    <row r="1116" spans="1:10" x14ac:dyDescent="0.15">
      <c r="A1116" s="31" t="s">
        <v>335</v>
      </c>
      <c r="B1116" s="31" t="s">
        <v>925</v>
      </c>
      <c r="C1116" s="31">
        <v>2065</v>
      </c>
      <c r="D1116" s="43" t="s">
        <v>331</v>
      </c>
      <c r="E1116" s="31" t="s">
        <v>743</v>
      </c>
      <c r="F1116" s="43">
        <v>0.1537</v>
      </c>
      <c r="G1116" s="43">
        <v>3.4000000000000002E-2</v>
      </c>
      <c r="H1116" s="43">
        <v>34</v>
      </c>
      <c r="I1116" s="31" t="s">
        <v>298</v>
      </c>
      <c r="J1116" s="19">
        <f t="shared" si="36"/>
        <v>3.5356014123670895E-3</v>
      </c>
    </row>
    <row r="1117" spans="1:10" x14ac:dyDescent="0.15">
      <c r="A1117" s="31" t="s">
        <v>335</v>
      </c>
      <c r="B1117" s="31" t="s">
        <v>925</v>
      </c>
      <c r="C1117" s="31">
        <v>2065</v>
      </c>
      <c r="D1117" s="43" t="s">
        <v>332</v>
      </c>
      <c r="E1117" s="31" t="s">
        <v>743</v>
      </c>
      <c r="F1117" s="43">
        <v>3.8160000000000006E-2</v>
      </c>
      <c r="G1117" s="43">
        <v>4.2000000000000003E-2</v>
      </c>
      <c r="H1117" s="43">
        <v>26</v>
      </c>
      <c r="I1117" s="31" t="s">
        <v>298</v>
      </c>
      <c r="J1117" s="19">
        <f t="shared" si="36"/>
        <v>7.7039489682785751E-4</v>
      </c>
    </row>
    <row r="1118" spans="1:10" x14ac:dyDescent="0.15">
      <c r="A1118" s="29" t="s">
        <v>340</v>
      </c>
      <c r="B1118" s="29" t="s">
        <v>925</v>
      </c>
      <c r="C1118" s="29">
        <v>0.32300000000000001</v>
      </c>
      <c r="D1118" s="30" t="s">
        <v>341</v>
      </c>
      <c r="E1118" s="29" t="s">
        <v>742</v>
      </c>
      <c r="F1118" s="30">
        <v>2.0753837209302323E-3</v>
      </c>
      <c r="G1118" s="30">
        <v>2.651685393258427E-2</v>
      </c>
      <c r="H1118" s="30">
        <v>17.100000000000001</v>
      </c>
      <c r="I1118" s="29" t="s">
        <v>357</v>
      </c>
      <c r="J1118" s="19">
        <f t="shared" si="36"/>
        <v>7.0572320295300673E-5</v>
      </c>
    </row>
    <row r="1119" spans="1:10" x14ac:dyDescent="0.15">
      <c r="A1119" s="29" t="s">
        <v>340</v>
      </c>
      <c r="B1119" s="29" t="s">
        <v>925</v>
      </c>
      <c r="C1119" s="29">
        <v>0.32300000000000001</v>
      </c>
      <c r="D1119" s="30" t="s">
        <v>299</v>
      </c>
      <c r="E1119" s="29" t="s">
        <v>742</v>
      </c>
      <c r="F1119" s="30">
        <v>6.058139534883721E-4</v>
      </c>
      <c r="G1119" s="30">
        <v>2.1573033707865168E-2</v>
      </c>
      <c r="H1119" s="30">
        <v>1.1000000000000001</v>
      </c>
      <c r="I1119" s="29" t="s">
        <v>357</v>
      </c>
      <c r="J1119" s="19">
        <f t="shared" si="36"/>
        <v>2.6487571506239325E-5</v>
      </c>
    </row>
    <row r="1120" spans="1:10" x14ac:dyDescent="0.15">
      <c r="A1120" s="29" t="s">
        <v>340</v>
      </c>
      <c r="B1120" s="29" t="s">
        <v>925</v>
      </c>
      <c r="C1120" s="29">
        <v>0.32300000000000001</v>
      </c>
      <c r="D1120" s="30" t="s">
        <v>342</v>
      </c>
      <c r="E1120" s="29" t="s">
        <v>742</v>
      </c>
      <c r="F1120" s="30">
        <v>2.3166627906976742E-3</v>
      </c>
      <c r="G1120" s="30">
        <v>2.7303370786516859E-2</v>
      </c>
      <c r="H1120" s="30">
        <v>0.6</v>
      </c>
      <c r="I1120" s="29" t="s">
        <v>357</v>
      </c>
      <c r="J1120" s="19">
        <f t="shared" si="36"/>
        <v>8.0041805741136695E-5</v>
      </c>
    </row>
    <row r="1121" spans="1:10" x14ac:dyDescent="0.15">
      <c r="A1121" s="29" t="s">
        <v>340</v>
      </c>
      <c r="B1121" s="29" t="s">
        <v>925</v>
      </c>
      <c r="C1121" s="29">
        <v>0.32300000000000001</v>
      </c>
      <c r="D1121" s="30" t="s">
        <v>343</v>
      </c>
      <c r="E1121" s="29" t="s">
        <v>742</v>
      </c>
      <c r="F1121" s="30">
        <v>4.3837209302325579E-4</v>
      </c>
      <c r="G1121" s="30">
        <v>3.9325842696629219E-2</v>
      </c>
      <c r="H1121" s="30">
        <v>1</v>
      </c>
      <c r="I1121" s="29" t="s">
        <v>357</v>
      </c>
      <c r="J1121" s="19">
        <f t="shared" si="36"/>
        <v>1.0514602180023317E-5</v>
      </c>
    </row>
    <row r="1122" spans="1:10" x14ac:dyDescent="0.15">
      <c r="A1122" s="29" t="s">
        <v>340</v>
      </c>
      <c r="B1122" s="29" t="s">
        <v>925</v>
      </c>
      <c r="C1122" s="29">
        <v>0.32300000000000001</v>
      </c>
      <c r="D1122" s="30" t="s">
        <v>314</v>
      </c>
      <c r="E1122" s="29" t="s">
        <v>742</v>
      </c>
      <c r="F1122" s="30">
        <v>1.0992209302325582E-3</v>
      </c>
      <c r="G1122" s="30">
        <v>1.303370786516854E-2</v>
      </c>
      <c r="H1122" s="30">
        <v>25.4</v>
      </c>
      <c r="I1122" s="29" t="s">
        <v>357</v>
      </c>
      <c r="J1122" s="19">
        <f t="shared" si="36"/>
        <v>7.1872064429933088E-5</v>
      </c>
    </row>
    <row r="1123" spans="1:10" x14ac:dyDescent="0.15">
      <c r="A1123" s="29" t="s">
        <v>340</v>
      </c>
      <c r="B1123" s="29" t="s">
        <v>925</v>
      </c>
      <c r="C1123" s="29">
        <v>0.32300000000000001</v>
      </c>
      <c r="D1123" s="30" t="s">
        <v>315</v>
      </c>
      <c r="E1123" s="29" t="s">
        <v>742</v>
      </c>
      <c r="F1123" s="30">
        <v>1.4986395348837208E-3</v>
      </c>
      <c r="G1123" s="30">
        <v>2.2022471910112359E-2</v>
      </c>
      <c r="H1123" s="30">
        <v>10</v>
      </c>
      <c r="I1123" s="29" t="s">
        <v>357</v>
      </c>
      <c r="J1123" s="19">
        <f t="shared" si="36"/>
        <v>6.3223235045362298E-5</v>
      </c>
    </row>
    <row r="1124" spans="1:10" x14ac:dyDescent="0.15">
      <c r="A1124" s="29" t="s">
        <v>340</v>
      </c>
      <c r="B1124" s="29" t="s">
        <v>925</v>
      </c>
      <c r="C1124" s="29">
        <v>0.32300000000000001</v>
      </c>
      <c r="D1124" s="30" t="s">
        <v>336</v>
      </c>
      <c r="E1124" s="29" t="s">
        <v>742</v>
      </c>
      <c r="F1124" s="30">
        <v>1.98453488372093E-4</v>
      </c>
      <c r="G1124" s="30">
        <v>1.2808988764044944E-2</v>
      </c>
      <c r="H1124" s="30">
        <v>6.9</v>
      </c>
      <c r="I1124" s="29" t="s">
        <v>357</v>
      </c>
      <c r="J1124" s="19">
        <f t="shared" si="36"/>
        <v>1.4510458480261967E-5</v>
      </c>
    </row>
    <row r="1125" spans="1:10" x14ac:dyDescent="0.15">
      <c r="A1125" s="29" t="s">
        <v>340</v>
      </c>
      <c r="B1125" s="29" t="s">
        <v>925</v>
      </c>
      <c r="C1125" s="29">
        <v>0.32300000000000001</v>
      </c>
      <c r="D1125" s="30" t="s">
        <v>316</v>
      </c>
      <c r="E1125" s="29" t="s">
        <v>742</v>
      </c>
      <c r="F1125" s="30">
        <v>5.1453488372093029E-4</v>
      </c>
      <c r="G1125" s="30">
        <v>1.9101123595505622E-2</v>
      </c>
      <c r="H1125" s="30">
        <v>24.7</v>
      </c>
      <c r="I1125" s="29" t="s">
        <v>357</v>
      </c>
      <c r="J1125" s="19">
        <f t="shared" si="36"/>
        <v>2.3087605052168213E-5</v>
      </c>
    </row>
    <row r="1126" spans="1:10" x14ac:dyDescent="0.15">
      <c r="A1126" s="29" t="s">
        <v>340</v>
      </c>
      <c r="B1126" s="29" t="s">
        <v>925</v>
      </c>
      <c r="C1126" s="29">
        <v>0.32300000000000001</v>
      </c>
      <c r="D1126" s="30" t="s">
        <v>344</v>
      </c>
      <c r="E1126" s="29" t="s">
        <v>742</v>
      </c>
      <c r="F1126" s="30">
        <v>2.0116279069767442E-4</v>
      </c>
      <c r="G1126" s="30">
        <v>2.8876404494382023E-2</v>
      </c>
      <c r="H1126" s="30">
        <v>0</v>
      </c>
      <c r="I1126" s="29" t="s">
        <v>357</v>
      </c>
      <c r="J1126" s="19">
        <f t="shared" si="36"/>
        <v>6.5720168754471117E-6</v>
      </c>
    </row>
    <row r="1127" spans="1:10" x14ac:dyDescent="0.15">
      <c r="A1127" s="29" t="s">
        <v>340</v>
      </c>
      <c r="B1127" s="29" t="s">
        <v>925</v>
      </c>
      <c r="C1127" s="29">
        <v>0.32300000000000001</v>
      </c>
      <c r="D1127" s="30" t="s">
        <v>345</v>
      </c>
      <c r="E1127" s="29" t="s">
        <v>742</v>
      </c>
      <c r="F1127" s="30">
        <v>3.2093023255813955E-4</v>
      </c>
      <c r="G1127" s="30">
        <v>2.9662921348314608E-2</v>
      </c>
      <c r="H1127" s="30">
        <v>0</v>
      </c>
      <c r="I1127" s="29" t="s">
        <v>357</v>
      </c>
      <c r="J1127" s="19">
        <f t="shared" si="36"/>
        <v>1.0206829151541744E-5</v>
      </c>
    </row>
    <row r="1128" spans="1:10" x14ac:dyDescent="0.15">
      <c r="A1128" s="29" t="s">
        <v>340</v>
      </c>
      <c r="B1128" s="29" t="s">
        <v>925</v>
      </c>
      <c r="C1128" s="29">
        <v>0.32300000000000001</v>
      </c>
      <c r="D1128" s="30" t="s">
        <v>337</v>
      </c>
      <c r="E1128" s="29" t="s">
        <v>742</v>
      </c>
      <c r="F1128" s="30">
        <v>2.7383720930232561E-4</v>
      </c>
      <c r="G1128" s="30">
        <v>1.2022471910112362E-2</v>
      </c>
      <c r="H1128" s="30">
        <v>4.2</v>
      </c>
      <c r="I1128" s="29" t="s">
        <v>357</v>
      </c>
      <c r="J1128" s="19">
        <f t="shared" si="36"/>
        <v>2.1430136993789322E-5</v>
      </c>
    </row>
    <row r="1129" spans="1:10" x14ac:dyDescent="0.15">
      <c r="A1129" s="29" t="s">
        <v>340</v>
      </c>
      <c r="B1129" s="29" t="s">
        <v>925</v>
      </c>
      <c r="C1129" s="29">
        <v>0.32300000000000001</v>
      </c>
      <c r="D1129" s="30" t="s">
        <v>339</v>
      </c>
      <c r="E1129" s="29" t="s">
        <v>742</v>
      </c>
      <c r="F1129" s="30">
        <v>7.7709302325581396E-5</v>
      </c>
      <c r="G1129" s="30">
        <v>1.303370786516854E-2</v>
      </c>
      <c r="H1129" s="30">
        <v>0</v>
      </c>
      <c r="I1129" s="29" t="s">
        <v>357</v>
      </c>
      <c r="J1129" s="19">
        <f t="shared" si="36"/>
        <v>5.6246973869361943E-6</v>
      </c>
    </row>
    <row r="1130" spans="1:10" x14ac:dyDescent="0.15">
      <c r="A1130" s="29" t="s">
        <v>340</v>
      </c>
      <c r="B1130" s="29" t="s">
        <v>925</v>
      </c>
      <c r="C1130" s="29">
        <v>0.32300000000000001</v>
      </c>
      <c r="D1130" s="30" t="s">
        <v>338</v>
      </c>
      <c r="E1130" s="29" t="s">
        <v>742</v>
      </c>
      <c r="F1130" s="30">
        <v>7.5561627906976748E-4</v>
      </c>
      <c r="G1130" s="30">
        <v>2.4831460674157303E-2</v>
      </c>
      <c r="H1130" s="30">
        <v>0</v>
      </c>
      <c r="I1130" s="29" t="s">
        <v>357</v>
      </c>
      <c r="J1130" s="19">
        <f t="shared" si="36"/>
        <v>2.8707354579189494E-5</v>
      </c>
    </row>
    <row r="1131" spans="1:10" x14ac:dyDescent="0.15">
      <c r="A1131" s="29" t="s">
        <v>340</v>
      </c>
      <c r="B1131" s="29" t="s">
        <v>925</v>
      </c>
      <c r="C1131" s="29">
        <v>0.32300000000000001</v>
      </c>
      <c r="D1131" s="30" t="s">
        <v>346</v>
      </c>
      <c r="E1131" s="29" t="s">
        <v>742</v>
      </c>
      <c r="F1131" s="30">
        <v>7.9670930232558128E-4</v>
      </c>
      <c r="G1131" s="30">
        <v>2.2247191011235956E-2</v>
      </c>
      <c r="H1131" s="30">
        <v>0.6</v>
      </c>
      <c r="I1131" s="29" t="s">
        <v>357</v>
      </c>
      <c r="J1131" s="19">
        <f t="shared" si="36"/>
        <v>3.3782752060302972E-5</v>
      </c>
    </row>
    <row r="1132" spans="1:10" x14ac:dyDescent="0.15">
      <c r="A1132" s="29" t="s">
        <v>340</v>
      </c>
      <c r="B1132" s="29" t="s">
        <v>925</v>
      </c>
      <c r="C1132" s="29">
        <v>0.32300000000000001</v>
      </c>
      <c r="D1132" s="30" t="s">
        <v>347</v>
      </c>
      <c r="E1132" s="29" t="s">
        <v>742</v>
      </c>
      <c r="F1132" s="30">
        <v>3.1056162790697676E-3</v>
      </c>
      <c r="G1132" s="30">
        <v>3.8202247191011243E-2</v>
      </c>
      <c r="H1132" s="30">
        <v>3.6</v>
      </c>
      <c r="I1132" s="29" t="s">
        <v>357</v>
      </c>
      <c r="J1132" s="19">
        <f t="shared" si="36"/>
        <v>7.654118670173938E-5</v>
      </c>
    </row>
    <row r="1133" spans="1:10" x14ac:dyDescent="0.15">
      <c r="A1133" s="29" t="s">
        <v>340</v>
      </c>
      <c r="B1133" s="29" t="s">
        <v>925</v>
      </c>
      <c r="C1133" s="29">
        <v>0.32300000000000001</v>
      </c>
      <c r="D1133" s="30" t="s">
        <v>308</v>
      </c>
      <c r="E1133" s="29" t="s">
        <v>742</v>
      </c>
      <c r="F1133" s="30">
        <v>9.1840697674418605E-4</v>
      </c>
      <c r="G1133" s="30">
        <v>5.3595505617977525E-2</v>
      </c>
      <c r="H1133" s="30">
        <v>0</v>
      </c>
      <c r="I1133" s="29" t="s">
        <v>357</v>
      </c>
      <c r="J1133" s="19">
        <f t="shared" si="36"/>
        <v>1.6165939031334314E-5</v>
      </c>
    </row>
    <row r="1134" spans="1:10" x14ac:dyDescent="0.15">
      <c r="A1134" s="29" t="s">
        <v>340</v>
      </c>
      <c r="B1134" s="29" t="s">
        <v>925</v>
      </c>
      <c r="C1134" s="29">
        <v>0.32300000000000001</v>
      </c>
      <c r="D1134" s="30" t="s">
        <v>307</v>
      </c>
      <c r="E1134" s="29" t="s">
        <v>742</v>
      </c>
      <c r="F1134" s="30">
        <v>1.6893372093023254E-3</v>
      </c>
      <c r="G1134" s="30">
        <v>3.4719101123595504E-2</v>
      </c>
      <c r="H1134" s="30">
        <v>2.1</v>
      </c>
      <c r="I1134" s="29" t="s">
        <v>357</v>
      </c>
      <c r="J1134" s="19">
        <f t="shared" ref="J1134:J1146" si="37">F1134*COS(RADIANS(H1134))/(1060*G1134)</f>
        <v>4.5872270548058969E-5</v>
      </c>
    </row>
    <row r="1135" spans="1:10" x14ac:dyDescent="0.15">
      <c r="A1135" s="29" t="s">
        <v>340</v>
      </c>
      <c r="B1135" s="29" t="s">
        <v>925</v>
      </c>
      <c r="C1135" s="29">
        <v>0.32300000000000001</v>
      </c>
      <c r="D1135" s="30" t="s">
        <v>348</v>
      </c>
      <c r="E1135" s="29" t="s">
        <v>743</v>
      </c>
      <c r="F1135" s="30">
        <v>7.6996511627906977E-4</v>
      </c>
      <c r="G1135" s="30">
        <v>1.842696629213483E-2</v>
      </c>
      <c r="H1135" s="30">
        <v>12.8</v>
      </c>
      <c r="I1135" s="29" t="s">
        <v>357</v>
      </c>
      <c r="J1135" s="19">
        <f t="shared" si="37"/>
        <v>3.8439920473989601E-5</v>
      </c>
    </row>
    <row r="1136" spans="1:10" x14ac:dyDescent="0.15">
      <c r="A1136" s="29" t="s">
        <v>340</v>
      </c>
      <c r="B1136" s="29" t="s">
        <v>925</v>
      </c>
      <c r="C1136" s="29">
        <v>0.32300000000000001</v>
      </c>
      <c r="D1136" s="30" t="s">
        <v>349</v>
      </c>
      <c r="E1136" s="29" t="s">
        <v>743</v>
      </c>
      <c r="F1136" s="30">
        <v>2.2674418604651163E-5</v>
      </c>
      <c r="G1136" s="30">
        <v>1.3258426966292135E-2</v>
      </c>
      <c r="H1136" s="30">
        <v>5.7</v>
      </c>
      <c r="I1136" s="29" t="s">
        <v>357</v>
      </c>
      <c r="J1136" s="19">
        <f t="shared" si="37"/>
        <v>1.6054087631987233E-6</v>
      </c>
    </row>
    <row r="1137" spans="1:10" x14ac:dyDescent="0.15">
      <c r="A1137" s="29" t="s">
        <v>340</v>
      </c>
      <c r="B1137" s="29" t="s">
        <v>925</v>
      </c>
      <c r="C1137" s="29">
        <v>0.32300000000000001</v>
      </c>
      <c r="D1137" s="30" t="s">
        <v>325</v>
      </c>
      <c r="E1137" s="29" t="s">
        <v>743</v>
      </c>
      <c r="F1137" s="30">
        <v>1.5329069767441863E-4</v>
      </c>
      <c r="G1137" s="30">
        <v>1.50561797752809E-2</v>
      </c>
      <c r="H1137" s="30">
        <v>9</v>
      </c>
      <c r="I1137" s="29" t="s">
        <v>357</v>
      </c>
      <c r="J1137" s="19">
        <f t="shared" si="37"/>
        <v>9.4866979009503351E-6</v>
      </c>
    </row>
    <row r="1138" spans="1:10" x14ac:dyDescent="0.15">
      <c r="A1138" s="29" t="s">
        <v>340</v>
      </c>
      <c r="B1138" s="29" t="s">
        <v>925</v>
      </c>
      <c r="C1138" s="29">
        <v>0.32300000000000001</v>
      </c>
      <c r="D1138" s="30" t="s">
        <v>350</v>
      </c>
      <c r="E1138" s="29" t="s">
        <v>743</v>
      </c>
      <c r="F1138" s="30">
        <v>2.0639534883720931E-4</v>
      </c>
      <c r="G1138" s="30">
        <v>0.01</v>
      </c>
      <c r="H1138" s="30">
        <v>20</v>
      </c>
      <c r="I1138" s="29" t="s">
        <v>357</v>
      </c>
      <c r="J1138" s="19">
        <f t="shared" si="37"/>
        <v>1.8296998704420665E-5</v>
      </c>
    </row>
    <row r="1139" spans="1:10" x14ac:dyDescent="0.15">
      <c r="A1139" s="29" t="s">
        <v>340</v>
      </c>
      <c r="B1139" s="29" t="s">
        <v>925</v>
      </c>
      <c r="C1139" s="29">
        <v>0.32300000000000001</v>
      </c>
      <c r="D1139" s="30" t="s">
        <v>351</v>
      </c>
      <c r="E1139" s="29" t="s">
        <v>743</v>
      </c>
      <c r="F1139" s="30">
        <v>1.4496511627906978E-4</v>
      </c>
      <c r="G1139" s="30">
        <v>9.2134831460674149E-3</v>
      </c>
      <c r="H1139" s="30">
        <v>12.6</v>
      </c>
      <c r="I1139" s="29" t="s">
        <v>357</v>
      </c>
      <c r="J1139" s="19">
        <f t="shared" si="37"/>
        <v>1.4485936414760467E-5</v>
      </c>
    </row>
    <row r="1140" spans="1:10" x14ac:dyDescent="0.15">
      <c r="A1140" s="29" t="s">
        <v>340</v>
      </c>
      <c r="B1140" s="29" t="s">
        <v>925</v>
      </c>
      <c r="C1140" s="29">
        <v>0.32300000000000001</v>
      </c>
      <c r="D1140" s="30" t="s">
        <v>352</v>
      </c>
      <c r="E1140" s="29" t="s">
        <v>743</v>
      </c>
      <c r="F1140" s="30">
        <v>9.874069767441861E-4</v>
      </c>
      <c r="G1140" s="30">
        <v>1.8089887640449439E-2</v>
      </c>
      <c r="H1140" s="30">
        <v>14</v>
      </c>
      <c r="I1140" s="29" t="s">
        <v>357</v>
      </c>
      <c r="J1140" s="19">
        <f t="shared" si="37"/>
        <v>4.9964158266183495E-5</v>
      </c>
    </row>
    <row r="1141" spans="1:10" x14ac:dyDescent="0.15">
      <c r="A1141" s="29" t="s">
        <v>340</v>
      </c>
      <c r="B1141" s="29" t="s">
        <v>925</v>
      </c>
      <c r="C1141" s="29">
        <v>0.32300000000000001</v>
      </c>
      <c r="D1141" s="30" t="s">
        <v>353</v>
      </c>
      <c r="E1141" s="29" t="s">
        <v>743</v>
      </c>
      <c r="F1141" s="30">
        <v>1.1990348837209305E-3</v>
      </c>
      <c r="G1141" s="30">
        <v>1.7528089887640451E-2</v>
      </c>
      <c r="H1141" s="30">
        <v>14.2</v>
      </c>
      <c r="I1141" s="29" t="s">
        <v>357</v>
      </c>
      <c r="J1141" s="19">
        <f t="shared" si="37"/>
        <v>6.2562586189098321E-5</v>
      </c>
    </row>
    <row r="1142" spans="1:10" x14ac:dyDescent="0.15">
      <c r="A1142" s="29" t="s">
        <v>340</v>
      </c>
      <c r="B1142" s="29" t="s">
        <v>925</v>
      </c>
      <c r="C1142" s="29">
        <v>0.32300000000000001</v>
      </c>
      <c r="D1142" s="30" t="s">
        <v>192</v>
      </c>
      <c r="E1142" s="29" t="s">
        <v>743</v>
      </c>
      <c r="F1142" s="30">
        <v>1.5659302325581392E-4</v>
      </c>
      <c r="G1142" s="30">
        <v>2.2134831460674159E-2</v>
      </c>
      <c r="H1142" s="30">
        <v>3.9</v>
      </c>
      <c r="I1142" s="29" t="s">
        <v>357</v>
      </c>
      <c r="J1142" s="19">
        <f t="shared" si="37"/>
        <v>6.658608071790099E-6</v>
      </c>
    </row>
    <row r="1143" spans="1:10" x14ac:dyDescent="0.15">
      <c r="A1143" s="29" t="s">
        <v>340</v>
      </c>
      <c r="B1143" s="29" t="s">
        <v>925</v>
      </c>
      <c r="C1143" s="29">
        <v>0.32300000000000001</v>
      </c>
      <c r="D1143" s="30" t="s">
        <v>354</v>
      </c>
      <c r="E1143" s="29" t="s">
        <v>743</v>
      </c>
      <c r="F1143" s="30">
        <v>3.4499999999999998E-5</v>
      </c>
      <c r="G1143" s="30">
        <v>0.01</v>
      </c>
      <c r="H1143" s="30">
        <v>7.5</v>
      </c>
      <c r="I1143" s="29" t="s">
        <v>357</v>
      </c>
      <c r="J1143" s="19">
        <f t="shared" si="37"/>
        <v>3.226872426169477E-6</v>
      </c>
    </row>
    <row r="1144" spans="1:10" x14ac:dyDescent="0.15">
      <c r="A1144" s="29" t="s">
        <v>340</v>
      </c>
      <c r="B1144" s="29" t="s">
        <v>925</v>
      </c>
      <c r="C1144" s="29">
        <v>0.32300000000000001</v>
      </c>
      <c r="D1144" s="30" t="s">
        <v>355</v>
      </c>
      <c r="E1144" s="29" t="s">
        <v>743</v>
      </c>
      <c r="F1144" s="30">
        <v>5.3933720930232556E-4</v>
      </c>
      <c r="G1144" s="30">
        <v>1.0898876404494382E-2</v>
      </c>
      <c r="H1144" s="30">
        <v>19.3</v>
      </c>
      <c r="I1144" s="29" t="s">
        <v>357</v>
      </c>
      <c r="J1144" s="19">
        <f t="shared" si="37"/>
        <v>4.4060883535670355E-5</v>
      </c>
    </row>
    <row r="1145" spans="1:10" x14ac:dyDescent="0.15">
      <c r="A1145" s="29" t="s">
        <v>340</v>
      </c>
      <c r="B1145" s="29" t="s">
        <v>925</v>
      </c>
      <c r="C1145" s="29">
        <v>0.32300000000000001</v>
      </c>
      <c r="D1145" s="30" t="s">
        <v>785</v>
      </c>
      <c r="E1145" s="29" t="s">
        <v>743</v>
      </c>
      <c r="F1145" s="30">
        <v>1.579418604651163E-4</v>
      </c>
      <c r="G1145" s="30">
        <v>6.7415730337078662E-3</v>
      </c>
      <c r="H1145" s="30">
        <v>26</v>
      </c>
      <c r="I1145" s="29" t="s">
        <v>357</v>
      </c>
      <c r="J1145" s="19">
        <f t="shared" si="37"/>
        <v>1.9865080412616301E-5</v>
      </c>
    </row>
    <row r="1146" spans="1:10" x14ac:dyDescent="0.15">
      <c r="A1146" s="29" t="s">
        <v>340</v>
      </c>
      <c r="B1146" s="29" t="s">
        <v>925</v>
      </c>
      <c r="C1146" s="29">
        <v>0.32300000000000001</v>
      </c>
      <c r="D1146" s="30" t="s">
        <v>356</v>
      </c>
      <c r="E1146" s="29" t="s">
        <v>743</v>
      </c>
      <c r="F1146" s="30">
        <v>4.6220930232558139E-4</v>
      </c>
      <c r="G1146" s="30">
        <v>1.5393258426966294E-2</v>
      </c>
      <c r="H1146" s="30">
        <v>16.399999999999999</v>
      </c>
      <c r="I1146" s="29" t="s">
        <v>357</v>
      </c>
      <c r="J1146" s="19">
        <f t="shared" si="37"/>
        <v>2.7174591665484989E-5</v>
      </c>
    </row>
    <row r="1147" spans="1:10" ht="15" x14ac:dyDescent="0.15">
      <c r="A1147" s="36" t="s">
        <v>921</v>
      </c>
      <c r="B1147" s="36" t="s">
        <v>925</v>
      </c>
      <c r="C1147" s="36">
        <v>1.7589999999999999</v>
      </c>
      <c r="D1147" s="37" t="s">
        <v>105</v>
      </c>
      <c r="E1147" s="36" t="s">
        <v>742</v>
      </c>
      <c r="F1147" s="37">
        <v>2.7282000000000001E-3</v>
      </c>
      <c r="G1147" s="61" t="s">
        <v>1013</v>
      </c>
      <c r="H1147" s="37" t="s">
        <v>1053</v>
      </c>
      <c r="I1147" s="36" t="s">
        <v>364</v>
      </c>
      <c r="J1147" s="19">
        <v>9.4290091370083327E-5</v>
      </c>
    </row>
    <row r="1148" spans="1:10" x14ac:dyDescent="0.15">
      <c r="A1148" s="36" t="s">
        <v>921</v>
      </c>
      <c r="B1148" s="36" t="s">
        <v>925</v>
      </c>
      <c r="C1148" s="36">
        <v>1.7589999999999999</v>
      </c>
      <c r="D1148" s="37" t="s">
        <v>133</v>
      </c>
      <c r="E1148" s="36" t="s">
        <v>742</v>
      </c>
      <c r="F1148" s="37">
        <v>1.7986E-3</v>
      </c>
      <c r="G1148" s="37" t="s">
        <v>1014</v>
      </c>
      <c r="H1148" s="37">
        <v>0</v>
      </c>
      <c r="I1148" s="36" t="s">
        <v>364</v>
      </c>
      <c r="J1148" s="19">
        <v>4.8501956689634931E-5</v>
      </c>
    </row>
    <row r="1149" spans="1:10" x14ac:dyDescent="0.15">
      <c r="A1149" s="36" t="s">
        <v>921</v>
      </c>
      <c r="B1149" s="36" t="s">
        <v>925</v>
      </c>
      <c r="C1149" s="36">
        <v>1.7589999999999999</v>
      </c>
      <c r="D1149" s="37" t="s">
        <v>686</v>
      </c>
      <c r="E1149" s="36" t="s">
        <v>742</v>
      </c>
      <c r="F1149" s="37">
        <v>1.0763999999999999E-3</v>
      </c>
      <c r="G1149" s="37" t="s">
        <v>1015</v>
      </c>
      <c r="H1149" s="37">
        <v>0</v>
      </c>
      <c r="I1149" s="36" t="s">
        <v>364</v>
      </c>
      <c r="J1149" s="19">
        <v>1.6765811948771753E-5</v>
      </c>
    </row>
    <row r="1150" spans="1:10" x14ac:dyDescent="0.15">
      <c r="A1150" s="36" t="s">
        <v>921</v>
      </c>
      <c r="B1150" s="36" t="s">
        <v>925</v>
      </c>
      <c r="C1150" s="36">
        <v>1.7589999999999999</v>
      </c>
      <c r="D1150" s="37" t="s">
        <v>101</v>
      </c>
      <c r="E1150" s="36" t="s">
        <v>742</v>
      </c>
      <c r="F1150" s="37">
        <v>1.7202999999999999E-3</v>
      </c>
      <c r="G1150" s="37" t="s">
        <v>1016</v>
      </c>
      <c r="H1150" s="37" t="s">
        <v>1054</v>
      </c>
      <c r="I1150" s="36" t="s">
        <v>364</v>
      </c>
      <c r="J1150" s="19">
        <v>2.4196235197270544E-5</v>
      </c>
    </row>
    <row r="1151" spans="1:10" x14ac:dyDescent="0.15">
      <c r="A1151" s="36" t="s">
        <v>921</v>
      </c>
      <c r="B1151" s="36" t="s">
        <v>925</v>
      </c>
      <c r="C1151" s="36">
        <v>1.7589999999999999</v>
      </c>
      <c r="D1151" s="37" t="s">
        <v>103</v>
      </c>
      <c r="E1151" s="36" t="s">
        <v>742</v>
      </c>
      <c r="F1151" s="37">
        <v>1.5654E-3</v>
      </c>
      <c r="G1151" s="37" t="s">
        <v>1017</v>
      </c>
      <c r="H1151" s="37" t="s">
        <v>1055</v>
      </c>
      <c r="I1151" s="36" t="s">
        <v>364</v>
      </c>
      <c r="J1151" s="19">
        <v>4.5563765876225121E-5</v>
      </c>
    </row>
    <row r="1152" spans="1:10" x14ac:dyDescent="0.15">
      <c r="A1152" s="36" t="s">
        <v>921</v>
      </c>
      <c r="B1152" s="36" t="s">
        <v>925</v>
      </c>
      <c r="C1152" s="36">
        <v>1.7589999999999999</v>
      </c>
      <c r="D1152" s="37" t="s">
        <v>102</v>
      </c>
      <c r="E1152" s="36" t="s">
        <v>742</v>
      </c>
      <c r="F1152" s="37">
        <v>4.9497999999999999E-3</v>
      </c>
      <c r="G1152" s="37" t="s">
        <v>1018</v>
      </c>
      <c r="H1152" s="37" t="s">
        <v>1056</v>
      </c>
      <c r="I1152" s="36" t="s">
        <v>364</v>
      </c>
      <c r="J1152" s="19">
        <v>1.6356186580937252E-4</v>
      </c>
    </row>
    <row r="1153" spans="1:10" x14ac:dyDescent="0.15">
      <c r="A1153" s="36" t="s">
        <v>921</v>
      </c>
      <c r="B1153" s="36" t="s">
        <v>925</v>
      </c>
      <c r="C1153" s="36">
        <v>1.7589999999999999</v>
      </c>
      <c r="D1153" s="37" t="s">
        <v>115</v>
      </c>
      <c r="E1153" s="36" t="s">
        <v>742</v>
      </c>
      <c r="F1153" s="37">
        <v>4.1143999999999998E-3</v>
      </c>
      <c r="G1153" s="37" t="s">
        <v>1019</v>
      </c>
      <c r="H1153" s="37" t="s">
        <v>1057</v>
      </c>
      <c r="I1153" s="36" t="s">
        <v>364</v>
      </c>
      <c r="J1153" s="19">
        <v>1.5134480384897841E-4</v>
      </c>
    </row>
    <row r="1154" spans="1:10" x14ac:dyDescent="0.15">
      <c r="A1154" s="36" t="s">
        <v>921</v>
      </c>
      <c r="B1154" s="36" t="s">
        <v>925</v>
      </c>
      <c r="C1154" s="36">
        <v>1.7589999999999999</v>
      </c>
      <c r="D1154" s="37" t="s">
        <v>687</v>
      </c>
      <c r="E1154" s="36" t="s">
        <v>742</v>
      </c>
      <c r="F1154" s="37">
        <v>5.1390000000000008E-4</v>
      </c>
      <c r="G1154" s="37" t="s">
        <v>1020</v>
      </c>
      <c r="H1154" s="37">
        <v>0</v>
      </c>
      <c r="I1154" s="36" t="s">
        <v>364</v>
      </c>
      <c r="J1154" s="19">
        <v>2.314356123518794E-5</v>
      </c>
    </row>
    <row r="1155" spans="1:10" x14ac:dyDescent="0.15">
      <c r="A1155" s="36" t="s">
        <v>921</v>
      </c>
      <c r="B1155" s="36" t="s">
        <v>925</v>
      </c>
      <c r="C1155" s="36">
        <v>1.7589999999999999</v>
      </c>
      <c r="D1155" s="37" t="s">
        <v>688</v>
      </c>
      <c r="E1155" s="36" t="s">
        <v>742</v>
      </c>
      <c r="F1155" s="37">
        <v>4.706E-4</v>
      </c>
      <c r="G1155" s="37" t="s">
        <v>1021</v>
      </c>
      <c r="H1155" s="37">
        <v>0</v>
      </c>
      <c r="I1155" s="36" t="s">
        <v>364</v>
      </c>
      <c r="J1155" s="19">
        <v>1.7891604100545797E-5</v>
      </c>
    </row>
    <row r="1156" spans="1:10" x14ac:dyDescent="0.15">
      <c r="A1156" s="36" t="s">
        <v>921</v>
      </c>
      <c r="B1156" s="36" t="s">
        <v>925</v>
      </c>
      <c r="C1156" s="36">
        <v>1.7589999999999999</v>
      </c>
      <c r="D1156" s="37" t="s">
        <v>689</v>
      </c>
      <c r="E1156" s="36" t="s">
        <v>742</v>
      </c>
      <c r="F1156" s="37">
        <v>4.9700000000000002E-5</v>
      </c>
      <c r="G1156" s="37" t="s">
        <v>1022</v>
      </c>
      <c r="H1156" s="37">
        <v>0</v>
      </c>
      <c r="I1156" s="36" t="s">
        <v>364</v>
      </c>
      <c r="J1156" s="19">
        <v>2.4528795423923719E-6</v>
      </c>
    </row>
    <row r="1157" spans="1:10" x14ac:dyDescent="0.15">
      <c r="A1157" s="36" t="s">
        <v>921</v>
      </c>
      <c r="B1157" s="36" t="s">
        <v>925</v>
      </c>
      <c r="C1157" s="36">
        <v>1.7589999999999999</v>
      </c>
      <c r="D1157" s="37" t="s">
        <v>140</v>
      </c>
      <c r="E1157" s="36" t="s">
        <v>742</v>
      </c>
      <c r="F1157" s="37">
        <v>1.7842999999999999E-3</v>
      </c>
      <c r="G1157" s="37" t="s">
        <v>1023</v>
      </c>
      <c r="H1157" s="37">
        <v>0</v>
      </c>
      <c r="I1157" s="36" t="s">
        <v>364</v>
      </c>
      <c r="J1157" s="19">
        <v>3.7690283107584271E-5</v>
      </c>
    </row>
    <row r="1158" spans="1:10" x14ac:dyDescent="0.15">
      <c r="A1158" s="36" t="s">
        <v>921</v>
      </c>
      <c r="B1158" s="36" t="s">
        <v>925</v>
      </c>
      <c r="C1158" s="36">
        <v>1.7589999999999999</v>
      </c>
      <c r="D1158" s="37" t="s">
        <v>138</v>
      </c>
      <c r="E1158" s="36" t="s">
        <v>742</v>
      </c>
      <c r="F1158" s="37">
        <v>2.4672000000000001E-3</v>
      </c>
      <c r="G1158" s="37" t="s">
        <v>1024</v>
      </c>
      <c r="H1158" s="37" t="s">
        <v>1058</v>
      </c>
      <c r="I1158" s="36" t="s">
        <v>364</v>
      </c>
      <c r="J1158" s="19">
        <v>6.5002066975171325E-5</v>
      </c>
    </row>
    <row r="1159" spans="1:10" x14ac:dyDescent="0.15">
      <c r="A1159" s="36" t="s">
        <v>921</v>
      </c>
      <c r="B1159" s="36" t="s">
        <v>925</v>
      </c>
      <c r="C1159" s="36">
        <v>1.7589999999999999</v>
      </c>
      <c r="D1159" s="37" t="s">
        <v>118</v>
      </c>
      <c r="E1159" s="36" t="s">
        <v>742</v>
      </c>
      <c r="F1159" s="37">
        <v>1.658E-3</v>
      </c>
      <c r="G1159" s="37" t="s">
        <v>1025</v>
      </c>
      <c r="H1159" s="37" t="s">
        <v>1059</v>
      </c>
      <c r="I1159" s="36" t="s">
        <v>364</v>
      </c>
      <c r="J1159" s="19">
        <v>7.3638953378162185E-5</v>
      </c>
    </row>
    <row r="1160" spans="1:10" x14ac:dyDescent="0.15">
      <c r="A1160" s="36" t="s">
        <v>921</v>
      </c>
      <c r="B1160" s="36" t="s">
        <v>925</v>
      </c>
      <c r="C1160" s="36">
        <v>1.7589999999999999</v>
      </c>
      <c r="D1160" s="37" t="s">
        <v>120</v>
      </c>
      <c r="E1160" s="36" t="s">
        <v>742</v>
      </c>
      <c r="F1160" s="37">
        <v>1.8579999999999999E-4</v>
      </c>
      <c r="G1160" s="37" t="s">
        <v>1026</v>
      </c>
      <c r="H1160" s="37">
        <v>0</v>
      </c>
      <c r="I1160" s="36" t="s">
        <v>364</v>
      </c>
      <c r="J1160" s="19">
        <v>7.3340175258545838E-6</v>
      </c>
    </row>
    <row r="1161" spans="1:10" x14ac:dyDescent="0.15">
      <c r="A1161" s="36" t="s">
        <v>921</v>
      </c>
      <c r="B1161" s="36" t="s">
        <v>925</v>
      </c>
      <c r="C1161" s="36">
        <v>1.7589999999999999</v>
      </c>
      <c r="D1161" s="37" t="s">
        <v>98</v>
      </c>
      <c r="E1161" s="36" t="s">
        <v>742</v>
      </c>
      <c r="F1161" s="37">
        <v>3.9137E-3</v>
      </c>
      <c r="G1161" s="37" t="s">
        <v>1027</v>
      </c>
      <c r="H1161" s="37">
        <v>0</v>
      </c>
      <c r="I1161" s="36" t="s">
        <v>364</v>
      </c>
      <c r="J1161" s="19">
        <v>5.4689552413966259E-5</v>
      </c>
    </row>
    <row r="1162" spans="1:10" x14ac:dyDescent="0.15">
      <c r="A1162" s="36" t="s">
        <v>921</v>
      </c>
      <c r="B1162" s="36" t="s">
        <v>925</v>
      </c>
      <c r="C1162" s="36">
        <v>1.7589999999999999</v>
      </c>
      <c r="D1162" s="37" t="s">
        <v>690</v>
      </c>
      <c r="E1162" s="36" t="s">
        <v>742</v>
      </c>
      <c r="F1162" s="37">
        <v>3.4306000000000002E-3</v>
      </c>
      <c r="G1162" s="37" t="s">
        <v>1028</v>
      </c>
      <c r="H1162" s="37">
        <v>0</v>
      </c>
      <c r="I1162" s="36" t="s">
        <v>364</v>
      </c>
      <c r="J1162" s="19">
        <v>5.7503555210184836E-5</v>
      </c>
    </row>
    <row r="1163" spans="1:10" x14ac:dyDescent="0.15">
      <c r="A1163" s="36" t="s">
        <v>921</v>
      </c>
      <c r="B1163" s="36" t="s">
        <v>925</v>
      </c>
      <c r="C1163" s="36">
        <v>1.7589999999999999</v>
      </c>
      <c r="D1163" s="37" t="s">
        <v>691</v>
      </c>
      <c r="E1163" s="36" t="s">
        <v>742</v>
      </c>
      <c r="F1163" s="37">
        <v>9.1410000000000005E-4</v>
      </c>
      <c r="G1163" s="37" t="s">
        <v>1029</v>
      </c>
      <c r="H1163" s="37">
        <v>0</v>
      </c>
      <c r="I1163" s="36" t="s">
        <v>364</v>
      </c>
      <c r="J1163" s="19">
        <v>1.5774249284390766E-5</v>
      </c>
    </row>
    <row r="1164" spans="1:10" x14ac:dyDescent="0.15">
      <c r="A1164" s="36" t="s">
        <v>921</v>
      </c>
      <c r="B1164" s="36" t="s">
        <v>925</v>
      </c>
      <c r="C1164" s="36">
        <v>1.7589999999999999</v>
      </c>
      <c r="D1164" s="37" t="s">
        <v>692</v>
      </c>
      <c r="E1164" s="36" t="s">
        <v>742</v>
      </c>
      <c r="F1164" s="37">
        <v>1.6114999999999999E-3</v>
      </c>
      <c r="G1164" s="37" t="s">
        <v>1030</v>
      </c>
      <c r="H1164" s="37">
        <v>0</v>
      </c>
      <c r="I1164" s="36" t="s">
        <v>364</v>
      </c>
      <c r="J1164" s="19">
        <v>3.7536925480060359E-5</v>
      </c>
    </row>
    <row r="1165" spans="1:10" x14ac:dyDescent="0.15">
      <c r="A1165" s="36" t="s">
        <v>921</v>
      </c>
      <c r="B1165" s="36" t="s">
        <v>925</v>
      </c>
      <c r="C1165" s="36">
        <v>1.7589999999999999</v>
      </c>
      <c r="D1165" s="37" t="s">
        <v>100</v>
      </c>
      <c r="E1165" s="36" t="s">
        <v>742</v>
      </c>
      <c r="F1165" s="37">
        <v>2.8182999999999997E-3</v>
      </c>
      <c r="G1165" s="37" t="s">
        <v>1031</v>
      </c>
      <c r="H1165" s="37">
        <v>0</v>
      </c>
      <c r="I1165" s="36" t="s">
        <v>364</v>
      </c>
      <c r="J1165" s="19">
        <v>3.351355042918757E-5</v>
      </c>
    </row>
    <row r="1166" spans="1:10" x14ac:dyDescent="0.15">
      <c r="A1166" s="36" t="s">
        <v>921</v>
      </c>
      <c r="B1166" s="36" t="s">
        <v>925</v>
      </c>
      <c r="C1166" s="36">
        <v>1.7589999999999999</v>
      </c>
      <c r="D1166" s="37" t="s">
        <v>119</v>
      </c>
      <c r="E1166" s="36" t="s">
        <v>742</v>
      </c>
      <c r="F1166" s="37">
        <v>5.5979999999999995E-4</v>
      </c>
      <c r="G1166" s="37" t="s">
        <v>1032</v>
      </c>
      <c r="H1166" s="37">
        <v>0</v>
      </c>
      <c r="I1166" s="36" t="s">
        <v>364</v>
      </c>
      <c r="J1166" s="19">
        <v>1.6128548972244371E-5</v>
      </c>
    </row>
    <row r="1167" spans="1:10" x14ac:dyDescent="0.15">
      <c r="A1167" s="36" t="s">
        <v>921</v>
      </c>
      <c r="B1167" s="36" t="s">
        <v>925</v>
      </c>
      <c r="C1167" s="36">
        <v>1.7589999999999999</v>
      </c>
      <c r="D1167" s="37" t="s">
        <v>113</v>
      </c>
      <c r="E1167" s="36" t="s">
        <v>742</v>
      </c>
      <c r="F1167" s="37">
        <v>1.7346999999999998E-3</v>
      </c>
      <c r="G1167" s="37" t="s">
        <v>1033</v>
      </c>
      <c r="H1167" s="37">
        <v>0</v>
      </c>
      <c r="I1167" s="36" t="s">
        <v>364</v>
      </c>
      <c r="J1167" s="19">
        <v>5.2238286592004289E-5</v>
      </c>
    </row>
    <row r="1168" spans="1:10" x14ac:dyDescent="0.15">
      <c r="A1168" s="36" t="s">
        <v>921</v>
      </c>
      <c r="B1168" s="36" t="s">
        <v>925</v>
      </c>
      <c r="C1168" s="36">
        <v>1.7589999999999999</v>
      </c>
      <c r="D1168" s="37" t="s">
        <v>135</v>
      </c>
      <c r="E1168" s="36" t="s">
        <v>742</v>
      </c>
      <c r="F1168" s="37">
        <v>3.6511E-3</v>
      </c>
      <c r="G1168" s="37" t="s">
        <v>1034</v>
      </c>
      <c r="H1168" s="37">
        <v>0</v>
      </c>
      <c r="I1168" s="36" t="s">
        <v>364</v>
      </c>
      <c r="J1168" s="19">
        <v>6.0248976075986546E-5</v>
      </c>
    </row>
    <row r="1169" spans="1:10" x14ac:dyDescent="0.15">
      <c r="A1169" s="36" t="s">
        <v>921</v>
      </c>
      <c r="B1169" s="36" t="s">
        <v>925</v>
      </c>
      <c r="C1169" s="36">
        <v>1.7589999999999999</v>
      </c>
      <c r="D1169" s="37" t="s">
        <v>114</v>
      </c>
      <c r="E1169" s="36" t="s">
        <v>742</v>
      </c>
      <c r="F1169" s="37">
        <v>1.9678999999999999E-3</v>
      </c>
      <c r="G1169" s="37" t="s">
        <v>1035</v>
      </c>
      <c r="H1169" s="37">
        <v>0</v>
      </c>
      <c r="I1169" s="36" t="s">
        <v>364</v>
      </c>
      <c r="J1169" s="19">
        <v>4.1834475442786642E-5</v>
      </c>
    </row>
    <row r="1170" spans="1:10" x14ac:dyDescent="0.15">
      <c r="A1170" s="36" t="s">
        <v>921</v>
      </c>
      <c r="B1170" s="36" t="s">
        <v>925</v>
      </c>
      <c r="C1170" s="36">
        <v>1.7589999999999999</v>
      </c>
      <c r="D1170" s="37" t="s">
        <v>117</v>
      </c>
      <c r="E1170" s="36" t="s">
        <v>742</v>
      </c>
      <c r="F1170" s="37">
        <v>5.3610000000000007E-4</v>
      </c>
      <c r="G1170" s="37" t="s">
        <v>1036</v>
      </c>
      <c r="H1170" s="37" t="s">
        <v>1060</v>
      </c>
      <c r="I1170" s="36" t="s">
        <v>364</v>
      </c>
      <c r="J1170" s="19">
        <v>2.5876691797892224E-5</v>
      </c>
    </row>
    <row r="1171" spans="1:10" x14ac:dyDescent="0.15">
      <c r="A1171" s="36" t="s">
        <v>921</v>
      </c>
      <c r="B1171" s="36" t="s">
        <v>925</v>
      </c>
      <c r="C1171" s="36">
        <v>1.7589999999999999</v>
      </c>
      <c r="D1171" s="37" t="s">
        <v>134</v>
      </c>
      <c r="E1171" s="36" t="s">
        <v>742</v>
      </c>
      <c r="F1171" s="37">
        <v>1.7100000000000001E-4</v>
      </c>
      <c r="G1171" s="37" t="s">
        <v>1037</v>
      </c>
      <c r="H1171" s="37">
        <v>0</v>
      </c>
      <c r="I1171" s="36" t="s">
        <v>364</v>
      </c>
      <c r="J1171" s="19">
        <v>1.944560688488201E-5</v>
      </c>
    </row>
    <row r="1172" spans="1:10" x14ac:dyDescent="0.15">
      <c r="A1172" s="36" t="s">
        <v>921</v>
      </c>
      <c r="B1172" s="36" t="s">
        <v>925</v>
      </c>
      <c r="C1172" s="36">
        <v>1.7589999999999999</v>
      </c>
      <c r="D1172" s="37" t="s">
        <v>106</v>
      </c>
      <c r="E1172" s="36" t="s">
        <v>743</v>
      </c>
      <c r="F1172" s="37">
        <v>2.4156E-3</v>
      </c>
      <c r="G1172" s="37" t="s">
        <v>1038</v>
      </c>
      <c r="H1172" s="37" t="s">
        <v>1061</v>
      </c>
      <c r="I1172" s="36" t="s">
        <v>364</v>
      </c>
      <c r="J1172" s="19">
        <v>9.1556723276339674E-5</v>
      </c>
    </row>
    <row r="1173" spans="1:10" x14ac:dyDescent="0.15">
      <c r="A1173" s="36" t="s">
        <v>921</v>
      </c>
      <c r="B1173" s="36" t="s">
        <v>925</v>
      </c>
      <c r="C1173" s="36">
        <v>1.7589999999999999</v>
      </c>
      <c r="D1173" s="37" t="s">
        <v>147</v>
      </c>
      <c r="E1173" s="36" t="s">
        <v>743</v>
      </c>
      <c r="F1173" s="37">
        <v>5.7269999999999999E-4</v>
      </c>
      <c r="G1173" s="37" t="s">
        <v>1039</v>
      </c>
      <c r="H1173" s="37" t="s">
        <v>1062</v>
      </c>
      <c r="I1173" s="36" t="s">
        <v>364</v>
      </c>
      <c r="J1173" s="19">
        <v>1.8259820901219548E-5</v>
      </c>
    </row>
    <row r="1174" spans="1:10" x14ac:dyDescent="0.15">
      <c r="A1174" s="36" t="s">
        <v>921</v>
      </c>
      <c r="B1174" s="36" t="s">
        <v>925</v>
      </c>
      <c r="C1174" s="36">
        <v>1.7589999999999999</v>
      </c>
      <c r="D1174" s="37" t="s">
        <v>107</v>
      </c>
      <c r="E1174" s="36" t="s">
        <v>743</v>
      </c>
      <c r="F1174" s="37">
        <v>1.2566999999999999E-3</v>
      </c>
      <c r="G1174" s="37" t="s">
        <v>1040</v>
      </c>
      <c r="H1174" s="37" t="s">
        <v>1063</v>
      </c>
      <c r="I1174" s="36" t="s">
        <v>364</v>
      </c>
      <c r="J1174" s="19">
        <v>4.081964810888415E-5</v>
      </c>
    </row>
    <row r="1175" spans="1:10" x14ac:dyDescent="0.15">
      <c r="A1175" s="36" t="s">
        <v>921</v>
      </c>
      <c r="B1175" s="36" t="s">
        <v>925</v>
      </c>
      <c r="C1175" s="36">
        <v>1.7589999999999999</v>
      </c>
      <c r="D1175" s="37" t="s">
        <v>128</v>
      </c>
      <c r="E1175" s="36" t="s">
        <v>743</v>
      </c>
      <c r="F1175" s="37">
        <v>1.8655E-3</v>
      </c>
      <c r="G1175" s="37" t="s">
        <v>1041</v>
      </c>
      <c r="H1175" s="37" t="s">
        <v>1064</v>
      </c>
      <c r="I1175" s="36" t="s">
        <v>364</v>
      </c>
      <c r="J1175" s="19">
        <v>6.5935708568557044E-5</v>
      </c>
    </row>
    <row r="1176" spans="1:10" x14ac:dyDescent="0.15">
      <c r="A1176" s="36" t="s">
        <v>921</v>
      </c>
      <c r="B1176" s="36" t="s">
        <v>925</v>
      </c>
      <c r="C1176" s="36">
        <v>1.7589999999999999</v>
      </c>
      <c r="D1176" s="37" t="s">
        <v>693</v>
      </c>
      <c r="E1176" s="36" t="s">
        <v>743</v>
      </c>
      <c r="F1176" s="37">
        <v>1.6530000000000001E-4</v>
      </c>
      <c r="G1176" s="37" t="s">
        <v>1042</v>
      </c>
      <c r="H1176" s="37" t="s">
        <v>1065</v>
      </c>
      <c r="I1176" s="36" t="s">
        <v>364</v>
      </c>
      <c r="J1176" s="19">
        <v>2.2689019126123204E-5</v>
      </c>
    </row>
    <row r="1177" spans="1:10" x14ac:dyDescent="0.15">
      <c r="A1177" s="36" t="s">
        <v>921</v>
      </c>
      <c r="B1177" s="36" t="s">
        <v>925</v>
      </c>
      <c r="C1177" s="36">
        <v>1.7589999999999999</v>
      </c>
      <c r="D1177" s="37" t="s">
        <v>694</v>
      </c>
      <c r="E1177" s="36" t="s">
        <v>743</v>
      </c>
      <c r="F1177" s="37">
        <v>2.173E-4</v>
      </c>
      <c r="G1177" s="37" t="s">
        <v>1043</v>
      </c>
      <c r="H1177" s="37" t="s">
        <v>1066</v>
      </c>
      <c r="I1177" s="36" t="s">
        <v>364</v>
      </c>
      <c r="J1177" s="19">
        <v>1.0818646340128239E-5</v>
      </c>
    </row>
    <row r="1178" spans="1:10" x14ac:dyDescent="0.15">
      <c r="A1178" s="36" t="s">
        <v>921</v>
      </c>
      <c r="B1178" s="36" t="s">
        <v>925</v>
      </c>
      <c r="C1178" s="36">
        <v>1.7589999999999999</v>
      </c>
      <c r="D1178" s="37" t="s">
        <v>130</v>
      </c>
      <c r="E1178" s="36" t="s">
        <v>743</v>
      </c>
      <c r="F1178" s="37">
        <v>3.2440000000000002E-4</v>
      </c>
      <c r="G1178" s="37" t="s">
        <v>1044</v>
      </c>
      <c r="H1178" s="37">
        <v>0</v>
      </c>
      <c r="I1178" s="36" t="s">
        <v>364</v>
      </c>
      <c r="J1178" s="19">
        <v>9.3446636900475294E-6</v>
      </c>
    </row>
    <row r="1179" spans="1:10" x14ac:dyDescent="0.15">
      <c r="A1179" s="36" t="s">
        <v>921</v>
      </c>
      <c r="B1179" s="36" t="s">
        <v>925</v>
      </c>
      <c r="C1179" s="36">
        <v>1.7589999999999999</v>
      </c>
      <c r="D1179" s="37" t="s">
        <v>695</v>
      </c>
      <c r="E1179" s="36" t="s">
        <v>743</v>
      </c>
      <c r="F1179" s="37">
        <v>1.215E-4</v>
      </c>
      <c r="G1179" s="37" t="s">
        <v>1045</v>
      </c>
      <c r="H1179" s="37">
        <v>0</v>
      </c>
      <c r="I1179" s="36" t="s">
        <v>364</v>
      </c>
      <c r="J1179" s="19">
        <v>4.1053954695356002E-6</v>
      </c>
    </row>
    <row r="1180" spans="1:10" x14ac:dyDescent="0.15">
      <c r="A1180" s="36" t="s">
        <v>921</v>
      </c>
      <c r="B1180" s="36" t="s">
        <v>925</v>
      </c>
      <c r="C1180" s="36">
        <v>1.7589999999999999</v>
      </c>
      <c r="D1180" s="37" t="s">
        <v>145</v>
      </c>
      <c r="E1180" s="36" t="s">
        <v>743</v>
      </c>
      <c r="F1180" s="37">
        <v>3.5379999999999998E-4</v>
      </c>
      <c r="G1180" s="37" t="s">
        <v>1046</v>
      </c>
      <c r="H1180" s="37">
        <v>0</v>
      </c>
      <c r="I1180" s="36" t="s">
        <v>364</v>
      </c>
      <c r="J1180" s="19">
        <v>8.1305072811473354E-6</v>
      </c>
    </row>
    <row r="1181" spans="1:10" x14ac:dyDescent="0.15">
      <c r="A1181" s="36" t="s">
        <v>921</v>
      </c>
      <c r="B1181" s="36" t="s">
        <v>925</v>
      </c>
      <c r="C1181" s="36">
        <v>1.7589999999999999</v>
      </c>
      <c r="D1181" s="37" t="s">
        <v>144</v>
      </c>
      <c r="E1181" s="36" t="s">
        <v>743</v>
      </c>
      <c r="F1181" s="37">
        <v>1.4345E-3</v>
      </c>
      <c r="G1181" s="37" t="s">
        <v>1047</v>
      </c>
      <c r="H1181" s="37">
        <v>0</v>
      </c>
      <c r="I1181" s="36" t="s">
        <v>364</v>
      </c>
      <c r="J1181" s="19">
        <v>2.9526893395685276E-5</v>
      </c>
    </row>
    <row r="1182" spans="1:10" x14ac:dyDescent="0.15">
      <c r="A1182" s="36" t="s">
        <v>921</v>
      </c>
      <c r="B1182" s="36" t="s">
        <v>925</v>
      </c>
      <c r="C1182" s="36">
        <v>1.7589999999999999</v>
      </c>
      <c r="D1182" s="37" t="s">
        <v>109</v>
      </c>
      <c r="E1182" s="36" t="s">
        <v>743</v>
      </c>
      <c r="F1182" s="37">
        <v>1.0837000000000002E-3</v>
      </c>
      <c r="G1182" s="37" t="s">
        <v>1048</v>
      </c>
      <c r="H1182" s="37" t="s">
        <v>1067</v>
      </c>
      <c r="I1182" s="36" t="s">
        <v>364</v>
      </c>
      <c r="J1182" s="19">
        <v>5.2496212668024704E-5</v>
      </c>
    </row>
    <row r="1183" spans="1:10" x14ac:dyDescent="0.15">
      <c r="A1183" s="36" t="s">
        <v>921</v>
      </c>
      <c r="B1183" s="36" t="s">
        <v>925</v>
      </c>
      <c r="C1183" s="36">
        <v>1.7589999999999999</v>
      </c>
      <c r="D1183" s="37" t="s">
        <v>149</v>
      </c>
      <c r="E1183" s="36" t="s">
        <v>743</v>
      </c>
      <c r="F1183" s="37">
        <v>2.7560000000000003E-4</v>
      </c>
      <c r="G1183" s="37" t="s">
        <v>1049</v>
      </c>
      <c r="H1183" s="37" t="s">
        <v>1068</v>
      </c>
      <c r="I1183" s="36" t="s">
        <v>364</v>
      </c>
      <c r="J1183" s="19">
        <v>1.3905685146426127E-5</v>
      </c>
    </row>
    <row r="1184" spans="1:10" x14ac:dyDescent="0.15">
      <c r="A1184" s="36" t="s">
        <v>921</v>
      </c>
      <c r="B1184" s="36" t="s">
        <v>925</v>
      </c>
      <c r="C1184" s="36">
        <v>1.7589999999999999</v>
      </c>
      <c r="D1184" s="37" t="s">
        <v>696</v>
      </c>
      <c r="E1184" s="36" t="s">
        <v>743</v>
      </c>
      <c r="F1184" s="37">
        <v>2.1490000000000002E-4</v>
      </c>
      <c r="G1184" s="37" t="s">
        <v>1050</v>
      </c>
      <c r="H1184" s="37" t="s">
        <v>1069</v>
      </c>
      <c r="I1184" s="36" t="s">
        <v>364</v>
      </c>
      <c r="J1184" s="19">
        <v>8.539603697769596E-6</v>
      </c>
    </row>
    <row r="1185" spans="1:10" x14ac:dyDescent="0.15">
      <c r="A1185" s="36" t="s">
        <v>921</v>
      </c>
      <c r="B1185" s="36" t="s">
        <v>925</v>
      </c>
      <c r="C1185" s="36">
        <v>1.7589999999999999</v>
      </c>
      <c r="D1185" s="37" t="s">
        <v>148</v>
      </c>
      <c r="E1185" s="36" t="s">
        <v>743</v>
      </c>
      <c r="F1185" s="37">
        <v>4.6100000000000004E-4</v>
      </c>
      <c r="G1185" s="37" t="s">
        <v>1051</v>
      </c>
      <c r="H1185" s="37">
        <v>0</v>
      </c>
      <c r="I1185" s="36" t="s">
        <v>364</v>
      </c>
      <c r="J1185" s="19">
        <v>1.4628511953493392E-5</v>
      </c>
    </row>
    <row r="1186" spans="1:10" x14ac:dyDescent="0.15">
      <c r="A1186" s="36" t="s">
        <v>921</v>
      </c>
      <c r="B1186" s="36" t="s">
        <v>925</v>
      </c>
      <c r="C1186" s="36">
        <v>1.7589999999999999</v>
      </c>
      <c r="D1186" s="37" t="s">
        <v>697</v>
      </c>
      <c r="E1186" s="36" t="s">
        <v>743</v>
      </c>
      <c r="F1186" s="37">
        <v>8.52E-4</v>
      </c>
      <c r="G1186" s="37" t="s">
        <v>1052</v>
      </c>
      <c r="H1186" s="37" t="s">
        <v>1070</v>
      </c>
      <c r="I1186" s="36" t="s">
        <v>364</v>
      </c>
      <c r="J1186" s="19">
        <v>5.2719372519893365E-5</v>
      </c>
    </row>
  </sheetData>
  <sortState xmlns:xlrd2="http://schemas.microsoft.com/office/spreadsheetml/2017/richdata2" ref="A272:K325">
    <sortCondition ref="I272:I325"/>
  </sortState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13"/>
  <sheetViews>
    <sheetView zoomScale="85" zoomScaleNormal="85" workbookViewId="0">
      <pane ySplit="1" topLeftCell="A213" activePane="bottomLeft" state="frozen"/>
      <selection pane="bottomLeft"/>
    </sheetView>
  </sheetViews>
  <sheetFormatPr baseColWidth="10" defaultColWidth="9.1640625" defaultRowHeight="14" x14ac:dyDescent="0.15"/>
  <cols>
    <col min="1" max="1" width="31.5" style="19" bestFit="1" customWidth="1"/>
    <col min="2" max="2" width="9.5" style="19" bestFit="1" customWidth="1"/>
    <col min="3" max="3" width="14.5" style="19" customWidth="1"/>
    <col min="4" max="4" width="15.33203125" style="19" bestFit="1" customWidth="1"/>
    <col min="5" max="5" width="15.33203125" style="19" customWidth="1"/>
    <col min="6" max="6" width="16.6640625" style="22" customWidth="1"/>
    <col min="7" max="7" width="19" style="22" bestFit="1" customWidth="1"/>
    <col min="8" max="8" width="12.5" style="22" customWidth="1"/>
    <col min="9" max="9" width="23.5" style="19" bestFit="1" customWidth="1"/>
    <col min="10" max="10" width="14.83203125" style="19" bestFit="1" customWidth="1"/>
    <col min="11" max="11" width="40.6640625" style="19" customWidth="1"/>
    <col min="12" max="16384" width="9.1640625" style="19"/>
  </cols>
  <sheetData>
    <row r="1" spans="1:11" ht="15" x14ac:dyDescent="0.15">
      <c r="A1" s="21" t="s">
        <v>0</v>
      </c>
      <c r="B1" s="21" t="s">
        <v>922</v>
      </c>
      <c r="C1" s="21" t="s">
        <v>69</v>
      </c>
      <c r="D1" s="21" t="s">
        <v>10</v>
      </c>
      <c r="E1" s="21" t="s">
        <v>741</v>
      </c>
      <c r="F1" s="21" t="s">
        <v>70</v>
      </c>
      <c r="G1" s="21" t="s">
        <v>917</v>
      </c>
      <c r="H1" s="21" t="s">
        <v>71</v>
      </c>
      <c r="I1" s="21" t="s">
        <v>57</v>
      </c>
      <c r="J1" s="21" t="s">
        <v>877</v>
      </c>
      <c r="K1" s="21" t="s">
        <v>358</v>
      </c>
    </row>
    <row r="2" spans="1:11" x14ac:dyDescent="0.15">
      <c r="A2" s="33" t="s">
        <v>66</v>
      </c>
      <c r="B2" s="33" t="s">
        <v>923</v>
      </c>
      <c r="C2" s="33">
        <v>57.7</v>
      </c>
      <c r="D2" s="33" t="s">
        <v>371</v>
      </c>
      <c r="E2" s="33" t="s">
        <v>742</v>
      </c>
      <c r="F2" s="33">
        <v>2.9229999999999999E-2</v>
      </c>
      <c r="G2" s="33">
        <v>9.5000000000000001E-2</v>
      </c>
      <c r="H2" s="33">
        <v>0</v>
      </c>
      <c r="I2" s="33" t="s">
        <v>60</v>
      </c>
      <c r="J2" s="22">
        <f t="shared" ref="J2:J28" si="0">F2*COS(RADIANS(H2))/(1060*G2)</f>
        <v>2.9026812313803373E-4</v>
      </c>
      <c r="K2" s="22" t="s">
        <v>359</v>
      </c>
    </row>
    <row r="3" spans="1:11" x14ac:dyDescent="0.15">
      <c r="A3" s="33" t="s">
        <v>66</v>
      </c>
      <c r="B3" s="33" t="s">
        <v>923</v>
      </c>
      <c r="C3" s="33">
        <v>57.7</v>
      </c>
      <c r="D3" s="33" t="s">
        <v>372</v>
      </c>
      <c r="E3" s="33" t="s">
        <v>742</v>
      </c>
      <c r="F3" s="33">
        <v>1.31E-3</v>
      </c>
      <c r="G3" s="33">
        <v>7.9000000000000001E-2</v>
      </c>
      <c r="H3" s="33">
        <v>0</v>
      </c>
      <c r="I3" s="33" t="s">
        <v>60</v>
      </c>
      <c r="J3" s="22">
        <f t="shared" si="0"/>
        <v>1.5643658944351564E-5</v>
      </c>
      <c r="K3" s="22"/>
    </row>
    <row r="4" spans="1:11" x14ac:dyDescent="0.15">
      <c r="A4" s="33" t="s">
        <v>66</v>
      </c>
      <c r="B4" s="33" t="s">
        <v>923</v>
      </c>
      <c r="C4" s="33">
        <v>57.7</v>
      </c>
      <c r="D4" s="33" t="s">
        <v>373</v>
      </c>
      <c r="E4" s="33" t="s">
        <v>742</v>
      </c>
      <c r="F4" s="33">
        <v>5.5999999999999999E-3</v>
      </c>
      <c r="G4" s="33">
        <v>3.5999999999999997E-2</v>
      </c>
      <c r="H4" s="33">
        <v>0</v>
      </c>
      <c r="I4" s="33" t="s">
        <v>60</v>
      </c>
      <c r="J4" s="22">
        <f t="shared" si="0"/>
        <v>1.4675052410901469E-4</v>
      </c>
      <c r="K4" s="22"/>
    </row>
    <row r="5" spans="1:11" x14ac:dyDescent="0.15">
      <c r="A5" s="33" t="s">
        <v>66</v>
      </c>
      <c r="B5" s="33" t="s">
        <v>923</v>
      </c>
      <c r="C5" s="33">
        <v>57.7</v>
      </c>
      <c r="D5" s="33" t="s">
        <v>374</v>
      </c>
      <c r="E5" s="33" t="s">
        <v>742</v>
      </c>
      <c r="F5" s="33">
        <v>3.32E-2</v>
      </c>
      <c r="G5" s="33">
        <v>7.3999999999999996E-2</v>
      </c>
      <c r="H5" s="33">
        <v>0</v>
      </c>
      <c r="I5" s="33" t="s">
        <v>60</v>
      </c>
      <c r="J5" s="22">
        <f t="shared" si="0"/>
        <v>4.2325344212136665E-4</v>
      </c>
      <c r="K5" s="22"/>
    </row>
    <row r="6" spans="1:11" x14ac:dyDescent="0.15">
      <c r="A6" s="33" t="s">
        <v>66</v>
      </c>
      <c r="B6" s="33" t="s">
        <v>923</v>
      </c>
      <c r="C6" s="33">
        <v>57.7</v>
      </c>
      <c r="D6" s="33" t="s">
        <v>375</v>
      </c>
      <c r="E6" s="33" t="s">
        <v>742</v>
      </c>
      <c r="F6" s="33">
        <v>5.5750000000000001E-2</v>
      </c>
      <c r="G6" s="33">
        <v>9.0999999999999998E-2</v>
      </c>
      <c r="H6" s="33">
        <v>0</v>
      </c>
      <c r="I6" s="33" t="s">
        <v>60</v>
      </c>
      <c r="J6" s="22">
        <f t="shared" si="0"/>
        <v>5.7795977607298361E-4</v>
      </c>
      <c r="K6" s="22"/>
    </row>
    <row r="7" spans="1:11" x14ac:dyDescent="0.15">
      <c r="A7" s="33" t="s">
        <v>66</v>
      </c>
      <c r="B7" s="33" t="s">
        <v>923</v>
      </c>
      <c r="C7" s="33">
        <v>57.7</v>
      </c>
      <c r="D7" s="33" t="s">
        <v>376</v>
      </c>
      <c r="E7" s="33" t="s">
        <v>742</v>
      </c>
      <c r="F7" s="33">
        <v>2.5200000000000001E-3</v>
      </c>
      <c r="G7" s="33">
        <v>3.6999999999999998E-2</v>
      </c>
      <c r="H7" s="33">
        <v>28</v>
      </c>
      <c r="I7" s="33" t="s">
        <v>60</v>
      </c>
      <c r="J7" s="22">
        <f t="shared" si="0"/>
        <v>5.6731971800216629E-5</v>
      </c>
      <c r="K7" s="22"/>
    </row>
    <row r="8" spans="1:11" x14ac:dyDescent="0.15">
      <c r="A8" s="33" t="s">
        <v>66</v>
      </c>
      <c r="B8" s="33" t="s">
        <v>923</v>
      </c>
      <c r="C8" s="33">
        <v>57.7</v>
      </c>
      <c r="D8" s="33" t="s">
        <v>384</v>
      </c>
      <c r="E8" s="33" t="s">
        <v>742</v>
      </c>
      <c r="F8" s="33">
        <v>1.179E-2</v>
      </c>
      <c r="G8" s="33">
        <v>6.9000000000000006E-2</v>
      </c>
      <c r="H8" s="33">
        <v>0</v>
      </c>
      <c r="I8" s="33" t="s">
        <v>60</v>
      </c>
      <c r="J8" s="22">
        <f t="shared" si="0"/>
        <v>1.6119770303527482E-4</v>
      </c>
      <c r="K8" s="22"/>
    </row>
    <row r="9" spans="1:11" x14ac:dyDescent="0.15">
      <c r="A9" s="33" t="s">
        <v>66</v>
      </c>
      <c r="B9" s="33" t="s">
        <v>923</v>
      </c>
      <c r="C9" s="33">
        <v>57.7</v>
      </c>
      <c r="D9" s="33" t="s">
        <v>385</v>
      </c>
      <c r="E9" s="33" t="s">
        <v>742</v>
      </c>
      <c r="F9" s="33">
        <v>4.5960000000000001E-2</v>
      </c>
      <c r="G9" s="33">
        <v>7.9000000000000001E-2</v>
      </c>
      <c r="H9" s="33">
        <v>0</v>
      </c>
      <c r="I9" s="33" t="s">
        <v>60</v>
      </c>
      <c r="J9" s="22">
        <f t="shared" si="0"/>
        <v>5.4884165273465495E-4</v>
      </c>
      <c r="K9" s="22"/>
    </row>
    <row r="10" spans="1:11" x14ac:dyDescent="0.15">
      <c r="A10" s="33" t="s">
        <v>66</v>
      </c>
      <c r="B10" s="33" t="s">
        <v>923</v>
      </c>
      <c r="C10" s="33">
        <v>57.7</v>
      </c>
      <c r="D10" s="33" t="s">
        <v>386</v>
      </c>
      <c r="E10" s="33" t="s">
        <v>742</v>
      </c>
      <c r="F10" s="33">
        <v>0.41486000000000001</v>
      </c>
      <c r="G10" s="33">
        <v>0.17799999999999999</v>
      </c>
      <c r="H10" s="33">
        <v>0</v>
      </c>
      <c r="I10" s="33" t="s">
        <v>60</v>
      </c>
      <c r="J10" s="22">
        <f t="shared" si="0"/>
        <v>2.1987492050031801E-3</v>
      </c>
      <c r="K10" s="22"/>
    </row>
    <row r="11" spans="1:11" x14ac:dyDescent="0.15">
      <c r="A11" s="33" t="s">
        <v>66</v>
      </c>
      <c r="B11" s="33" t="s">
        <v>923</v>
      </c>
      <c r="C11" s="33">
        <v>57.7</v>
      </c>
      <c r="D11" s="33" t="s">
        <v>389</v>
      </c>
      <c r="E11" s="33" t="s">
        <v>742</v>
      </c>
      <c r="F11" s="33">
        <v>6.0290000000000003E-2</v>
      </c>
      <c r="G11" s="33">
        <v>7.1999999999999995E-2</v>
      </c>
      <c r="H11" s="33">
        <v>0</v>
      </c>
      <c r="I11" s="33" t="s">
        <v>60</v>
      </c>
      <c r="J11" s="22">
        <f t="shared" si="0"/>
        <v>7.8996331236897289E-4</v>
      </c>
      <c r="K11" s="22"/>
    </row>
    <row r="12" spans="1:11" x14ac:dyDescent="0.15">
      <c r="A12" s="33" t="s">
        <v>66</v>
      </c>
      <c r="B12" s="33" t="s">
        <v>923</v>
      </c>
      <c r="C12" s="33">
        <v>57.7</v>
      </c>
      <c r="D12" s="33" t="s">
        <v>390</v>
      </c>
      <c r="E12" s="33" t="s">
        <v>742</v>
      </c>
      <c r="F12" s="33">
        <v>1.6279999999999999E-2</v>
      </c>
      <c r="G12" s="33">
        <v>4.4999999999999998E-2</v>
      </c>
      <c r="H12" s="33">
        <v>0</v>
      </c>
      <c r="I12" s="33" t="s">
        <v>60</v>
      </c>
      <c r="J12" s="22">
        <f t="shared" si="0"/>
        <v>3.4129979035639414E-4</v>
      </c>
      <c r="K12" s="22"/>
    </row>
    <row r="13" spans="1:11" x14ac:dyDescent="0.15">
      <c r="A13" s="33" t="s">
        <v>66</v>
      </c>
      <c r="B13" s="33" t="s">
        <v>923</v>
      </c>
      <c r="C13" s="33">
        <v>57.7</v>
      </c>
      <c r="D13" s="33" t="s">
        <v>391</v>
      </c>
      <c r="E13" s="33" t="s">
        <v>742</v>
      </c>
      <c r="F13" s="33">
        <v>4.4200000000000003E-2</v>
      </c>
      <c r="G13" s="33">
        <v>6.5000000000000002E-2</v>
      </c>
      <c r="H13" s="33">
        <v>0</v>
      </c>
      <c r="I13" s="33" t="s">
        <v>60</v>
      </c>
      <c r="J13" s="22">
        <f t="shared" si="0"/>
        <v>6.4150943396226419E-4</v>
      </c>
      <c r="K13" s="22"/>
    </row>
    <row r="14" spans="1:11" x14ac:dyDescent="0.15">
      <c r="A14" s="33" t="s">
        <v>66</v>
      </c>
      <c r="B14" s="33" t="s">
        <v>923</v>
      </c>
      <c r="C14" s="33">
        <v>57.7</v>
      </c>
      <c r="D14" s="33" t="s">
        <v>393</v>
      </c>
      <c r="E14" s="33" t="s">
        <v>742</v>
      </c>
      <c r="F14" s="33">
        <v>0.15475</v>
      </c>
      <c r="G14" s="33">
        <v>4.5999999999999999E-2</v>
      </c>
      <c r="H14" s="33">
        <v>27</v>
      </c>
      <c r="I14" s="33" t="s">
        <v>60</v>
      </c>
      <c r="J14" s="22">
        <f t="shared" si="0"/>
        <v>2.8277944958603348E-3</v>
      </c>
      <c r="K14" s="22"/>
    </row>
    <row r="15" spans="1:11" x14ac:dyDescent="0.15">
      <c r="A15" s="33" t="s">
        <v>66</v>
      </c>
      <c r="B15" s="33" t="s">
        <v>923</v>
      </c>
      <c r="C15" s="33">
        <v>57.7</v>
      </c>
      <c r="D15" s="33" t="s">
        <v>394</v>
      </c>
      <c r="E15" s="33" t="s">
        <v>742</v>
      </c>
      <c r="F15" s="33">
        <v>5.2540000000000003E-2</v>
      </c>
      <c r="G15" s="33">
        <v>4.9000000000000002E-2</v>
      </c>
      <c r="H15" s="33">
        <v>25</v>
      </c>
      <c r="I15" s="33" t="s">
        <v>60</v>
      </c>
      <c r="J15" s="22">
        <f t="shared" si="0"/>
        <v>9.1677726474596812E-4</v>
      </c>
      <c r="K15" s="22"/>
    </row>
    <row r="16" spans="1:11" x14ac:dyDescent="0.15">
      <c r="A16" s="33" t="s">
        <v>66</v>
      </c>
      <c r="B16" s="33" t="s">
        <v>923</v>
      </c>
      <c r="C16" s="33">
        <v>57.7</v>
      </c>
      <c r="D16" s="33" t="s">
        <v>395</v>
      </c>
      <c r="E16" s="33" t="s">
        <v>742</v>
      </c>
      <c r="F16" s="33">
        <v>5.527E-2</v>
      </c>
      <c r="G16" s="33">
        <v>4.5999999999999999E-2</v>
      </c>
      <c r="H16" s="33">
        <v>25</v>
      </c>
      <c r="I16" s="33" t="s">
        <v>60</v>
      </c>
      <c r="J16" s="22">
        <f t="shared" si="0"/>
        <v>1.0273099136488032E-3</v>
      </c>
      <c r="K16" s="22"/>
    </row>
    <row r="17" spans="1:11" x14ac:dyDescent="0.15">
      <c r="A17" s="33" t="s">
        <v>66</v>
      </c>
      <c r="B17" s="33" t="s">
        <v>923</v>
      </c>
      <c r="C17" s="33">
        <v>57.7</v>
      </c>
      <c r="D17" s="33" t="s">
        <v>396</v>
      </c>
      <c r="E17" s="33" t="s">
        <v>742</v>
      </c>
      <c r="F17" s="33">
        <v>1.6389999999999998E-2</v>
      </c>
      <c r="G17" s="33">
        <v>5.7000000000000002E-2</v>
      </c>
      <c r="H17" s="33">
        <v>0</v>
      </c>
      <c r="I17" s="33" t="s">
        <v>60</v>
      </c>
      <c r="J17" s="22">
        <f t="shared" si="0"/>
        <v>2.7126779212181395E-4</v>
      </c>
      <c r="K17" s="22"/>
    </row>
    <row r="18" spans="1:11" x14ac:dyDescent="0.15">
      <c r="A18" s="33" t="s">
        <v>66</v>
      </c>
      <c r="B18" s="33" t="s">
        <v>923</v>
      </c>
      <c r="C18" s="33">
        <v>57.7</v>
      </c>
      <c r="D18" s="33" t="s">
        <v>370</v>
      </c>
      <c r="E18" s="33" t="s">
        <v>743</v>
      </c>
      <c r="F18" s="33">
        <v>6.2500000000000003E-3</v>
      </c>
      <c r="G18" s="33">
        <v>1.9E-2</v>
      </c>
      <c r="H18" s="33">
        <v>24</v>
      </c>
      <c r="I18" s="33" t="s">
        <v>60</v>
      </c>
      <c r="J18" s="22">
        <f t="shared" si="0"/>
        <v>2.8349846624956584E-4</v>
      </c>
      <c r="K18" s="22"/>
    </row>
    <row r="19" spans="1:11" x14ac:dyDescent="0.15">
      <c r="A19" s="33" t="s">
        <v>66</v>
      </c>
      <c r="B19" s="33" t="s">
        <v>923</v>
      </c>
      <c r="C19" s="33">
        <v>57.7</v>
      </c>
      <c r="D19" s="33" t="s">
        <v>377</v>
      </c>
      <c r="E19" s="33" t="s">
        <v>743</v>
      </c>
      <c r="F19" s="33">
        <v>6.9699999999999996E-3</v>
      </c>
      <c r="G19" s="33">
        <v>2.5000000000000001E-2</v>
      </c>
      <c r="H19" s="33">
        <v>30</v>
      </c>
      <c r="I19" s="33" t="s">
        <v>60</v>
      </c>
      <c r="J19" s="22">
        <f t="shared" si="0"/>
        <v>2.2778102129726555E-4</v>
      </c>
      <c r="K19" s="22"/>
    </row>
    <row r="20" spans="1:11" x14ac:dyDescent="0.15">
      <c r="A20" s="33" t="s">
        <v>66</v>
      </c>
      <c r="B20" s="33" t="s">
        <v>923</v>
      </c>
      <c r="C20" s="33">
        <v>57.7</v>
      </c>
      <c r="D20" s="33" t="s">
        <v>378</v>
      </c>
      <c r="E20" s="33" t="s">
        <v>743</v>
      </c>
      <c r="F20" s="33">
        <v>7.7099999999999998E-3</v>
      </c>
      <c r="G20" s="33">
        <v>2.7E-2</v>
      </c>
      <c r="H20" s="33">
        <v>19</v>
      </c>
      <c r="I20" s="33" t="s">
        <v>60</v>
      </c>
      <c r="J20" s="22">
        <f t="shared" si="0"/>
        <v>2.5471517183335893E-4</v>
      </c>
      <c r="K20" s="22"/>
    </row>
    <row r="21" spans="1:11" x14ac:dyDescent="0.15">
      <c r="A21" s="33" t="s">
        <v>66</v>
      </c>
      <c r="B21" s="33" t="s">
        <v>923</v>
      </c>
      <c r="C21" s="33">
        <v>57.7</v>
      </c>
      <c r="D21" s="33" t="s">
        <v>379</v>
      </c>
      <c r="E21" s="33" t="s">
        <v>743</v>
      </c>
      <c r="F21" s="33">
        <v>6.8799999999999998E-3</v>
      </c>
      <c r="G21" s="33">
        <v>3.5999999999999997E-2</v>
      </c>
      <c r="H21" s="33">
        <v>16</v>
      </c>
      <c r="I21" s="33" t="s">
        <v>60</v>
      </c>
      <c r="J21" s="22">
        <f t="shared" si="0"/>
        <v>1.7330923658426714E-4</v>
      </c>
      <c r="K21" s="22"/>
    </row>
    <row r="22" spans="1:11" x14ac:dyDescent="0.15">
      <c r="A22" s="33" t="s">
        <v>66</v>
      </c>
      <c r="B22" s="33" t="s">
        <v>923</v>
      </c>
      <c r="C22" s="33">
        <v>57.7</v>
      </c>
      <c r="D22" s="33" t="s">
        <v>380</v>
      </c>
      <c r="E22" s="33" t="s">
        <v>743</v>
      </c>
      <c r="F22" s="33">
        <v>1.8069999999999999E-2</v>
      </c>
      <c r="G22" s="33">
        <v>1.7999999999999999E-2</v>
      </c>
      <c r="H22" s="33">
        <v>26</v>
      </c>
      <c r="I22" s="33" t="s">
        <v>60</v>
      </c>
      <c r="J22" s="22">
        <f t="shared" si="0"/>
        <v>8.5121637403699952E-4</v>
      </c>
      <c r="K22" s="22"/>
    </row>
    <row r="23" spans="1:11" x14ac:dyDescent="0.15">
      <c r="A23" s="33" t="s">
        <v>66</v>
      </c>
      <c r="B23" s="33" t="s">
        <v>923</v>
      </c>
      <c r="C23" s="33">
        <v>57.7</v>
      </c>
      <c r="D23" s="33" t="s">
        <v>381</v>
      </c>
      <c r="E23" s="33" t="s">
        <v>743</v>
      </c>
      <c r="F23" s="33">
        <v>6.2300000000000003E-3</v>
      </c>
      <c r="G23" s="33">
        <v>0.04</v>
      </c>
      <c r="H23" s="33">
        <v>23</v>
      </c>
      <c r="I23" s="33" t="s">
        <v>60</v>
      </c>
      <c r="J23" s="22">
        <f t="shared" si="0"/>
        <v>1.3525342540114869E-4</v>
      </c>
      <c r="K23" s="22"/>
    </row>
    <row r="24" spans="1:11" x14ac:dyDescent="0.15">
      <c r="A24" s="33" t="s">
        <v>66</v>
      </c>
      <c r="B24" s="33" t="s">
        <v>923</v>
      </c>
      <c r="C24" s="33">
        <v>57.7</v>
      </c>
      <c r="D24" s="33" t="s">
        <v>382</v>
      </c>
      <c r="E24" s="33" t="s">
        <v>743</v>
      </c>
      <c r="F24" s="33">
        <v>1.983E-2</v>
      </c>
      <c r="G24" s="33">
        <v>2.1000000000000001E-2</v>
      </c>
      <c r="H24" s="33">
        <v>24</v>
      </c>
      <c r="I24" s="33" t="s">
        <v>60</v>
      </c>
      <c r="J24" s="22">
        <f t="shared" si="0"/>
        <v>8.1381879717218222E-4</v>
      </c>
      <c r="K24" s="22"/>
    </row>
    <row r="25" spans="1:11" x14ac:dyDescent="0.15">
      <c r="A25" s="33" t="s">
        <v>66</v>
      </c>
      <c r="B25" s="33" t="s">
        <v>923</v>
      </c>
      <c r="C25" s="33">
        <v>57.7</v>
      </c>
      <c r="D25" s="33" t="s">
        <v>383</v>
      </c>
      <c r="E25" s="33" t="s">
        <v>743</v>
      </c>
      <c r="F25" s="33">
        <v>1.2829999999999999E-2</v>
      </c>
      <c r="G25" s="33">
        <v>2.5000000000000001E-2</v>
      </c>
      <c r="H25" s="33">
        <v>20</v>
      </c>
      <c r="I25" s="33" t="s">
        <v>60</v>
      </c>
      <c r="J25" s="22">
        <f t="shared" si="0"/>
        <v>4.5495306885596999E-4</v>
      </c>
      <c r="K25" s="22"/>
    </row>
    <row r="26" spans="1:11" x14ac:dyDescent="0.15">
      <c r="A26" s="33" t="s">
        <v>66</v>
      </c>
      <c r="B26" s="33" t="s">
        <v>923</v>
      </c>
      <c r="C26" s="33">
        <v>57.7</v>
      </c>
      <c r="D26" s="33" t="s">
        <v>387</v>
      </c>
      <c r="E26" s="33" t="s">
        <v>743</v>
      </c>
      <c r="F26" s="33">
        <v>1.9720000000000001E-2</v>
      </c>
      <c r="G26" s="33">
        <v>2.3E-2</v>
      </c>
      <c r="H26" s="33">
        <v>30</v>
      </c>
      <c r="I26" s="33" t="s">
        <v>60</v>
      </c>
      <c r="J26" s="22">
        <f t="shared" si="0"/>
        <v>7.0049306655574784E-4</v>
      </c>
      <c r="K26" s="22"/>
    </row>
    <row r="27" spans="1:11" x14ac:dyDescent="0.15">
      <c r="A27" s="33" t="s">
        <v>66</v>
      </c>
      <c r="B27" s="33" t="s">
        <v>923</v>
      </c>
      <c r="C27" s="33">
        <v>57.7</v>
      </c>
      <c r="D27" s="33" t="s">
        <v>388</v>
      </c>
      <c r="E27" s="33" t="s">
        <v>743</v>
      </c>
      <c r="F27" s="33">
        <v>2.8139999999999998E-2</v>
      </c>
      <c r="G27" s="33">
        <v>2.4E-2</v>
      </c>
      <c r="H27" s="33">
        <v>23</v>
      </c>
      <c r="I27" s="33" t="s">
        <v>60</v>
      </c>
      <c r="J27" s="22">
        <f t="shared" si="0"/>
        <v>1.0181999440311191E-3</v>
      </c>
      <c r="K27" s="22"/>
    </row>
    <row r="28" spans="1:11" x14ac:dyDescent="0.15">
      <c r="A28" s="33" t="s">
        <v>66</v>
      </c>
      <c r="B28" s="33" t="s">
        <v>923</v>
      </c>
      <c r="C28" s="33">
        <v>57.7</v>
      </c>
      <c r="D28" s="33" t="s">
        <v>392</v>
      </c>
      <c r="E28" s="33" t="s">
        <v>743</v>
      </c>
      <c r="F28" s="33">
        <v>1.5900000000000001E-2</v>
      </c>
      <c r="G28" s="33">
        <v>4.9000000000000002E-2</v>
      </c>
      <c r="H28" s="33">
        <v>24</v>
      </c>
      <c r="I28" s="33" t="s">
        <v>60</v>
      </c>
      <c r="J28" s="22">
        <f t="shared" si="0"/>
        <v>2.7965677274773492E-4</v>
      </c>
      <c r="K28" s="22"/>
    </row>
    <row r="29" spans="1:11" x14ac:dyDescent="0.15">
      <c r="A29" s="43" t="s">
        <v>65</v>
      </c>
      <c r="B29" s="43" t="s">
        <v>923</v>
      </c>
      <c r="C29" s="43">
        <v>20.190000000000001</v>
      </c>
      <c r="D29" s="43" t="s">
        <v>371</v>
      </c>
      <c r="E29" s="43" t="s">
        <v>742</v>
      </c>
      <c r="F29" s="43">
        <v>7.4999999999999997E-3</v>
      </c>
      <c r="G29" s="43">
        <v>4.4999999999999998E-2</v>
      </c>
      <c r="H29" s="43">
        <v>21</v>
      </c>
      <c r="I29" s="43" t="s">
        <v>60</v>
      </c>
      <c r="J29" s="22">
        <f t="shared" ref="J29:J49" si="1">F29*COS(RADIANS(H29))/(1060*G29)</f>
        <v>1.467893752354091E-4</v>
      </c>
      <c r="K29" s="22" t="s">
        <v>397</v>
      </c>
    </row>
    <row r="30" spans="1:11" x14ac:dyDescent="0.15">
      <c r="A30" s="43" t="s">
        <v>65</v>
      </c>
      <c r="B30" s="43" t="s">
        <v>923</v>
      </c>
      <c r="C30" s="43">
        <v>20.190000000000001</v>
      </c>
      <c r="D30" s="43" t="s">
        <v>372</v>
      </c>
      <c r="E30" s="43" t="s">
        <v>742</v>
      </c>
      <c r="F30" s="43">
        <v>3.7000000000000002E-3</v>
      </c>
      <c r="G30" s="43">
        <v>5.1999999999999998E-2</v>
      </c>
      <c r="H30" s="43">
        <v>0</v>
      </c>
      <c r="I30" s="43" t="s">
        <v>60</v>
      </c>
      <c r="J30" s="22">
        <f t="shared" si="1"/>
        <v>6.7126269956458643E-5</v>
      </c>
      <c r="K30" s="22"/>
    </row>
    <row r="31" spans="1:11" x14ac:dyDescent="0.15">
      <c r="A31" s="43" t="s">
        <v>65</v>
      </c>
      <c r="B31" s="43" t="s">
        <v>923</v>
      </c>
      <c r="C31" s="43">
        <v>20.190000000000001</v>
      </c>
      <c r="D31" s="43" t="s">
        <v>374</v>
      </c>
      <c r="E31" s="43" t="s">
        <v>742</v>
      </c>
      <c r="F31" s="43">
        <v>1.0999999999999999E-2</v>
      </c>
      <c r="G31" s="43">
        <v>4.4999999999999998E-2</v>
      </c>
      <c r="H31" s="43">
        <v>0</v>
      </c>
      <c r="I31" s="43" t="s">
        <v>60</v>
      </c>
      <c r="J31" s="22">
        <f t="shared" si="1"/>
        <v>2.3060796645702308E-4</v>
      </c>
      <c r="K31" s="22"/>
    </row>
    <row r="32" spans="1:11" x14ac:dyDescent="0.15">
      <c r="A32" s="43" t="s">
        <v>65</v>
      </c>
      <c r="B32" s="43" t="s">
        <v>923</v>
      </c>
      <c r="C32" s="43">
        <v>20.190000000000001</v>
      </c>
      <c r="D32" s="43" t="s">
        <v>375</v>
      </c>
      <c r="E32" s="43" t="s">
        <v>742</v>
      </c>
      <c r="F32" s="43">
        <v>1.9E-2</v>
      </c>
      <c r="G32" s="43">
        <v>4.9000000000000002E-2</v>
      </c>
      <c r="H32" s="43">
        <v>0</v>
      </c>
      <c r="I32" s="43" t="s">
        <v>60</v>
      </c>
      <c r="J32" s="22">
        <f t="shared" si="1"/>
        <v>3.6580670003850594E-4</v>
      </c>
      <c r="K32" s="22"/>
    </row>
    <row r="33" spans="1:11" x14ac:dyDescent="0.15">
      <c r="A33" s="43" t="s">
        <v>65</v>
      </c>
      <c r="B33" s="43" t="s">
        <v>923</v>
      </c>
      <c r="C33" s="43">
        <v>20.190000000000001</v>
      </c>
      <c r="D33" s="43" t="s">
        <v>376</v>
      </c>
      <c r="E33" s="43" t="s">
        <v>742</v>
      </c>
      <c r="F33" s="43">
        <v>6.0000000000000001E-3</v>
      </c>
      <c r="G33" s="43">
        <v>5.8000000000000003E-2</v>
      </c>
      <c r="H33" s="43">
        <v>0</v>
      </c>
      <c r="I33" s="43" t="s">
        <v>60</v>
      </c>
      <c r="J33" s="22">
        <f t="shared" si="1"/>
        <v>9.7592713077423548E-5</v>
      </c>
      <c r="K33" s="22"/>
    </row>
    <row r="34" spans="1:11" x14ac:dyDescent="0.15">
      <c r="A34" s="43" t="s">
        <v>65</v>
      </c>
      <c r="B34" s="43" t="s">
        <v>923</v>
      </c>
      <c r="C34" s="43">
        <v>20.190000000000001</v>
      </c>
      <c r="D34" s="43" t="s">
        <v>384</v>
      </c>
      <c r="E34" s="43" t="s">
        <v>742</v>
      </c>
      <c r="F34" s="43">
        <v>8.9999999999999993E-3</v>
      </c>
      <c r="G34" s="43">
        <v>6.3E-2</v>
      </c>
      <c r="H34" s="43">
        <v>0</v>
      </c>
      <c r="I34" s="43" t="s">
        <v>60</v>
      </c>
      <c r="J34" s="22">
        <f t="shared" si="1"/>
        <v>1.3477088948787061E-4</v>
      </c>
      <c r="K34" s="22"/>
    </row>
    <row r="35" spans="1:11" x14ac:dyDescent="0.15">
      <c r="A35" s="43" t="s">
        <v>65</v>
      </c>
      <c r="B35" s="43" t="s">
        <v>923</v>
      </c>
      <c r="C35" s="43">
        <v>20.190000000000001</v>
      </c>
      <c r="D35" s="43" t="s">
        <v>385</v>
      </c>
      <c r="E35" s="43" t="s">
        <v>742</v>
      </c>
      <c r="F35" s="43">
        <v>1.3599999999999999E-2</v>
      </c>
      <c r="G35" s="43">
        <v>6.2E-2</v>
      </c>
      <c r="H35" s="43">
        <v>0</v>
      </c>
      <c r="I35" s="43" t="s">
        <v>60</v>
      </c>
      <c r="J35" s="22">
        <f t="shared" si="1"/>
        <v>2.0693852708460132E-4</v>
      </c>
      <c r="K35" s="22"/>
    </row>
    <row r="36" spans="1:11" x14ac:dyDescent="0.15">
      <c r="A36" s="43" t="s">
        <v>65</v>
      </c>
      <c r="B36" s="43" t="s">
        <v>923</v>
      </c>
      <c r="C36" s="43">
        <v>20.190000000000001</v>
      </c>
      <c r="D36" s="43" t="s">
        <v>386</v>
      </c>
      <c r="E36" s="43" t="s">
        <v>742</v>
      </c>
      <c r="F36" s="43">
        <v>0.15110000000000001</v>
      </c>
      <c r="G36" s="43">
        <v>0.14899999999999999</v>
      </c>
      <c r="H36" s="43">
        <v>32</v>
      </c>
      <c r="I36" s="43" t="s">
        <v>60</v>
      </c>
      <c r="J36" s="22">
        <f t="shared" si="1"/>
        <v>8.1132118101327072E-4</v>
      </c>
      <c r="K36" s="22"/>
    </row>
    <row r="37" spans="1:11" x14ac:dyDescent="0.15">
      <c r="A37" s="43" t="s">
        <v>65</v>
      </c>
      <c r="B37" s="43" t="s">
        <v>923</v>
      </c>
      <c r="C37" s="43">
        <v>20.190000000000001</v>
      </c>
      <c r="D37" s="43" t="s">
        <v>389</v>
      </c>
      <c r="E37" s="43" t="s">
        <v>742</v>
      </c>
      <c r="F37" s="43">
        <v>2.0500000000000001E-2</v>
      </c>
      <c r="G37" s="43">
        <v>4.8000000000000001E-2</v>
      </c>
      <c r="H37" s="43">
        <v>27</v>
      </c>
      <c r="I37" s="43" t="s">
        <v>60</v>
      </c>
      <c r="J37" s="22">
        <f t="shared" si="1"/>
        <v>3.5899437393595795E-4</v>
      </c>
      <c r="K37" s="22"/>
    </row>
    <row r="38" spans="1:11" x14ac:dyDescent="0.15">
      <c r="A38" s="43" t="s">
        <v>65</v>
      </c>
      <c r="B38" s="43" t="s">
        <v>923</v>
      </c>
      <c r="C38" s="43">
        <v>20.190000000000001</v>
      </c>
      <c r="D38" s="43" t="s">
        <v>390</v>
      </c>
      <c r="E38" s="43" t="s">
        <v>742</v>
      </c>
      <c r="F38" s="43">
        <v>3.8E-3</v>
      </c>
      <c r="G38" s="43">
        <v>4.2999999999999997E-2</v>
      </c>
      <c r="H38" s="43">
        <v>0</v>
      </c>
      <c r="I38" s="43" t="s">
        <v>60</v>
      </c>
      <c r="J38" s="22">
        <f t="shared" si="1"/>
        <v>8.3369899078543217E-5</v>
      </c>
      <c r="K38" s="22"/>
    </row>
    <row r="39" spans="1:11" x14ac:dyDescent="0.15">
      <c r="A39" s="43" t="s">
        <v>65</v>
      </c>
      <c r="B39" s="43" t="s">
        <v>923</v>
      </c>
      <c r="C39" s="43">
        <v>20.190000000000001</v>
      </c>
      <c r="D39" s="43" t="s">
        <v>391</v>
      </c>
      <c r="E39" s="43" t="s">
        <v>742</v>
      </c>
      <c r="F39" s="43">
        <v>1.32E-2</v>
      </c>
      <c r="G39" s="43">
        <v>0.05</v>
      </c>
      <c r="H39" s="43">
        <v>0</v>
      </c>
      <c r="I39" s="43" t="s">
        <v>60</v>
      </c>
      <c r="J39" s="22">
        <f t="shared" si="1"/>
        <v>2.4905660377358489E-4</v>
      </c>
      <c r="K39" s="22"/>
    </row>
    <row r="40" spans="1:11" x14ac:dyDescent="0.15">
      <c r="A40" s="43" t="s">
        <v>65</v>
      </c>
      <c r="B40" s="43" t="s">
        <v>923</v>
      </c>
      <c r="C40" s="43">
        <v>20.190000000000001</v>
      </c>
      <c r="D40" s="43" t="s">
        <v>393</v>
      </c>
      <c r="E40" s="43" t="s">
        <v>742</v>
      </c>
      <c r="F40" s="43">
        <v>3.9600000000000003E-2</v>
      </c>
      <c r="G40" s="43">
        <v>2.1999999999999999E-2</v>
      </c>
      <c r="H40" s="43">
        <v>35</v>
      </c>
      <c r="I40" s="43" t="s">
        <v>60</v>
      </c>
      <c r="J40" s="22">
        <f t="shared" si="1"/>
        <v>1.3910129053964011E-3</v>
      </c>
      <c r="K40" s="22"/>
    </row>
    <row r="41" spans="1:11" x14ac:dyDescent="0.15">
      <c r="A41" s="43" t="s">
        <v>65</v>
      </c>
      <c r="B41" s="43" t="s">
        <v>923</v>
      </c>
      <c r="C41" s="43">
        <v>20.190000000000001</v>
      </c>
      <c r="D41" s="43" t="s">
        <v>394</v>
      </c>
      <c r="E41" s="43" t="s">
        <v>742</v>
      </c>
      <c r="F41" s="43">
        <v>1.09E-2</v>
      </c>
      <c r="G41" s="43">
        <v>0.03</v>
      </c>
      <c r="H41" s="43">
        <v>27</v>
      </c>
      <c r="I41" s="43" t="s">
        <v>60</v>
      </c>
      <c r="J41" s="22">
        <f t="shared" si="1"/>
        <v>3.0540789665576136E-4</v>
      </c>
      <c r="K41" s="22"/>
    </row>
    <row r="42" spans="1:11" x14ac:dyDescent="0.15">
      <c r="A42" s="43" t="s">
        <v>65</v>
      </c>
      <c r="B42" s="43" t="s">
        <v>923</v>
      </c>
      <c r="C42" s="43">
        <v>20.190000000000001</v>
      </c>
      <c r="D42" s="43" t="s">
        <v>395</v>
      </c>
      <c r="E42" s="43" t="s">
        <v>742</v>
      </c>
      <c r="F42" s="43">
        <v>1.6E-2</v>
      </c>
      <c r="G42" s="43">
        <v>2.8000000000000001E-2</v>
      </c>
      <c r="H42" s="43">
        <v>29</v>
      </c>
      <c r="I42" s="43" t="s">
        <v>60</v>
      </c>
      <c r="J42" s="22">
        <f t="shared" si="1"/>
        <v>4.7149310357918908E-4</v>
      </c>
      <c r="K42" s="22"/>
    </row>
    <row r="43" spans="1:11" x14ac:dyDescent="0.15">
      <c r="A43" s="43" t="s">
        <v>65</v>
      </c>
      <c r="B43" s="43" t="s">
        <v>923</v>
      </c>
      <c r="C43" s="43">
        <v>20.190000000000001</v>
      </c>
      <c r="D43" s="43" t="s">
        <v>396</v>
      </c>
      <c r="E43" s="43" t="s">
        <v>742</v>
      </c>
      <c r="F43" s="43">
        <v>2.3999999999999998E-3</v>
      </c>
      <c r="G43" s="43">
        <v>3.6999999999999998E-2</v>
      </c>
      <c r="H43" s="43">
        <v>0</v>
      </c>
      <c r="I43" s="43" t="s">
        <v>60</v>
      </c>
      <c r="J43" s="22">
        <f t="shared" si="1"/>
        <v>6.1193268740438548E-5</v>
      </c>
      <c r="K43" s="22"/>
    </row>
    <row r="44" spans="1:11" x14ac:dyDescent="0.15">
      <c r="A44" s="43" t="s">
        <v>65</v>
      </c>
      <c r="B44" s="43" t="s">
        <v>923</v>
      </c>
      <c r="C44" s="43">
        <v>20.190000000000001</v>
      </c>
      <c r="D44" s="43" t="s">
        <v>370</v>
      </c>
      <c r="E44" s="43" t="s">
        <v>743</v>
      </c>
      <c r="F44" s="43">
        <v>6.9999999999999999E-4</v>
      </c>
      <c r="G44" s="43">
        <v>2.8000000000000001E-2</v>
      </c>
      <c r="H44" s="43">
        <v>0</v>
      </c>
      <c r="I44" s="43" t="s">
        <v>60</v>
      </c>
      <c r="J44" s="22">
        <f t="shared" si="1"/>
        <v>2.3584905660377357E-5</v>
      </c>
      <c r="K44" s="22"/>
    </row>
    <row r="45" spans="1:11" x14ac:dyDescent="0.15">
      <c r="A45" s="43" t="s">
        <v>65</v>
      </c>
      <c r="B45" s="43" t="s">
        <v>923</v>
      </c>
      <c r="C45" s="43">
        <v>20.190000000000001</v>
      </c>
      <c r="D45" s="43" t="s">
        <v>377</v>
      </c>
      <c r="E45" s="43" t="s">
        <v>743</v>
      </c>
      <c r="F45" s="43">
        <v>1E-3</v>
      </c>
      <c r="G45" s="43">
        <v>2.8000000000000001E-2</v>
      </c>
      <c r="H45" s="43">
        <v>0</v>
      </c>
      <c r="I45" s="43" t="s">
        <v>60</v>
      </c>
      <c r="J45" s="22">
        <f t="shared" si="1"/>
        <v>3.3692722371967658E-5</v>
      </c>
      <c r="K45" s="22"/>
    </row>
    <row r="46" spans="1:11" x14ac:dyDescent="0.15">
      <c r="A46" s="43" t="s">
        <v>65</v>
      </c>
      <c r="B46" s="43" t="s">
        <v>923</v>
      </c>
      <c r="C46" s="43">
        <v>20.190000000000001</v>
      </c>
      <c r="D46" s="43" t="s">
        <v>378</v>
      </c>
      <c r="E46" s="43" t="s">
        <v>743</v>
      </c>
      <c r="F46" s="43">
        <v>2.3E-3</v>
      </c>
      <c r="G46" s="43">
        <v>4.9000000000000002E-2</v>
      </c>
      <c r="H46" s="43">
        <v>0</v>
      </c>
      <c r="I46" s="43" t="s">
        <v>60</v>
      </c>
      <c r="J46" s="22">
        <f t="shared" si="1"/>
        <v>4.428186368887177E-5</v>
      </c>
      <c r="K46" s="22"/>
    </row>
    <row r="47" spans="1:11" x14ac:dyDescent="0.15">
      <c r="A47" s="43" t="s">
        <v>65</v>
      </c>
      <c r="B47" s="43" t="s">
        <v>923</v>
      </c>
      <c r="C47" s="43">
        <v>20.190000000000001</v>
      </c>
      <c r="D47" s="43" t="s">
        <v>379</v>
      </c>
      <c r="E47" s="43" t="s">
        <v>743</v>
      </c>
      <c r="F47" s="43">
        <v>1.2999999999999999E-3</v>
      </c>
      <c r="G47" s="43">
        <v>8.0000000000000002E-3</v>
      </c>
      <c r="H47" s="43">
        <v>31</v>
      </c>
      <c r="I47" s="43" t="s">
        <v>60</v>
      </c>
      <c r="J47" s="22">
        <f t="shared" si="1"/>
        <v>1.3140536449442761E-4</v>
      </c>
      <c r="K47" s="22"/>
    </row>
    <row r="48" spans="1:11" x14ac:dyDescent="0.15">
      <c r="A48" s="43" t="s">
        <v>65</v>
      </c>
      <c r="B48" s="43" t="s">
        <v>923</v>
      </c>
      <c r="C48" s="43">
        <v>20.190000000000001</v>
      </c>
      <c r="D48" s="43" t="s">
        <v>380</v>
      </c>
      <c r="E48" s="43" t="s">
        <v>743</v>
      </c>
      <c r="F48" s="43">
        <v>2.7000000000000001E-3</v>
      </c>
      <c r="G48" s="43">
        <v>8.9999999999999993E-3</v>
      </c>
      <c r="H48" s="43">
        <v>52</v>
      </c>
      <c r="I48" s="43" t="s">
        <v>60</v>
      </c>
      <c r="J48" s="22">
        <f t="shared" si="1"/>
        <v>1.7424381377141276E-4</v>
      </c>
      <c r="K48" s="22"/>
    </row>
    <row r="49" spans="1:11" x14ac:dyDescent="0.15">
      <c r="A49" s="43" t="s">
        <v>65</v>
      </c>
      <c r="B49" s="43" t="s">
        <v>923</v>
      </c>
      <c r="C49" s="43">
        <v>20.190000000000001</v>
      </c>
      <c r="D49" s="43" t="s">
        <v>381</v>
      </c>
      <c r="E49" s="43" t="s">
        <v>743</v>
      </c>
      <c r="F49" s="43">
        <v>4.7999999999999996E-3</v>
      </c>
      <c r="G49" s="43">
        <v>1.2E-2</v>
      </c>
      <c r="H49" s="43">
        <v>35</v>
      </c>
      <c r="I49" s="43" t="s">
        <v>60</v>
      </c>
      <c r="J49" s="22">
        <f t="shared" si="1"/>
        <v>3.0911397897697801E-4</v>
      </c>
      <c r="K49" s="22"/>
    </row>
    <row r="50" spans="1:11" x14ac:dyDescent="0.15">
      <c r="A50" s="43" t="s">
        <v>65</v>
      </c>
      <c r="B50" s="43" t="s">
        <v>923</v>
      </c>
      <c r="C50" s="43">
        <v>20.190000000000001</v>
      </c>
      <c r="D50" s="43" t="s">
        <v>382</v>
      </c>
      <c r="E50" s="43" t="s">
        <v>743</v>
      </c>
      <c r="F50" s="43">
        <v>1.9E-3</v>
      </c>
      <c r="G50" s="43">
        <v>7.0000000000000001E-3</v>
      </c>
      <c r="H50" s="43">
        <v>29</v>
      </c>
      <c r="I50" s="43" t="s">
        <v>60</v>
      </c>
      <c r="J50" s="22">
        <f t="shared" ref="J50:J81" si="2">F50*COS(RADIANS(H50))/(1060*G50)</f>
        <v>2.239592242001148E-4</v>
      </c>
      <c r="K50" s="22"/>
    </row>
    <row r="51" spans="1:11" x14ac:dyDescent="0.15">
      <c r="A51" s="43" t="s">
        <v>65</v>
      </c>
      <c r="B51" s="43" t="s">
        <v>923</v>
      </c>
      <c r="C51" s="43">
        <v>20.190000000000001</v>
      </c>
      <c r="D51" s="43" t="s">
        <v>383</v>
      </c>
      <c r="E51" s="43" t="s">
        <v>743</v>
      </c>
      <c r="F51" s="43">
        <v>1E-3</v>
      </c>
      <c r="G51" s="43">
        <v>2.8000000000000001E-2</v>
      </c>
      <c r="H51" s="43">
        <v>0</v>
      </c>
      <c r="I51" s="43" t="s">
        <v>60</v>
      </c>
      <c r="J51" s="22">
        <f t="shared" si="2"/>
        <v>3.3692722371967658E-5</v>
      </c>
      <c r="K51" s="22"/>
    </row>
    <row r="52" spans="1:11" x14ac:dyDescent="0.15">
      <c r="A52" s="43" t="s">
        <v>65</v>
      </c>
      <c r="B52" s="43" t="s">
        <v>923</v>
      </c>
      <c r="C52" s="43">
        <v>20.190000000000001</v>
      </c>
      <c r="D52" s="43" t="s">
        <v>387</v>
      </c>
      <c r="E52" s="43" t="s">
        <v>743</v>
      </c>
      <c r="F52" s="43">
        <v>1.1299999999999999E-2</v>
      </c>
      <c r="G52" s="43">
        <v>0.01</v>
      </c>
      <c r="H52" s="43">
        <v>22</v>
      </c>
      <c r="I52" s="43" t="s">
        <v>60</v>
      </c>
      <c r="J52" s="22">
        <f t="shared" si="2"/>
        <v>9.8841297703817902E-4</v>
      </c>
      <c r="K52" s="22"/>
    </row>
    <row r="53" spans="1:11" x14ac:dyDescent="0.15">
      <c r="A53" s="43" t="s">
        <v>65</v>
      </c>
      <c r="B53" s="43" t="s">
        <v>923</v>
      </c>
      <c r="C53" s="43">
        <v>20.190000000000001</v>
      </c>
      <c r="D53" s="43" t="s">
        <v>388</v>
      </c>
      <c r="E53" s="43" t="s">
        <v>743</v>
      </c>
      <c r="F53" s="43">
        <v>2.5000000000000001E-3</v>
      </c>
      <c r="G53" s="43">
        <v>5.0000000000000001E-3</v>
      </c>
      <c r="H53" s="43">
        <v>26</v>
      </c>
      <c r="I53" s="43" t="s">
        <v>60</v>
      </c>
      <c r="J53" s="22">
        <f t="shared" si="2"/>
        <v>4.2395945580149394E-4</v>
      </c>
      <c r="K53" s="22"/>
    </row>
    <row r="54" spans="1:11" x14ac:dyDescent="0.15">
      <c r="A54" s="43" t="s">
        <v>65</v>
      </c>
      <c r="B54" s="43" t="s">
        <v>923</v>
      </c>
      <c r="C54" s="43">
        <v>20.190000000000001</v>
      </c>
      <c r="D54" s="43" t="s">
        <v>392</v>
      </c>
      <c r="E54" s="43" t="s">
        <v>743</v>
      </c>
      <c r="F54" s="43">
        <v>1.6000000000000001E-3</v>
      </c>
      <c r="G54" s="43">
        <v>3.5999999999999997E-2</v>
      </c>
      <c r="H54" s="43">
        <v>0</v>
      </c>
      <c r="I54" s="43" t="s">
        <v>60</v>
      </c>
      <c r="J54" s="22">
        <f t="shared" si="2"/>
        <v>4.1928721174004198E-5</v>
      </c>
      <c r="K54" s="22"/>
    </row>
    <row r="55" spans="1:11" x14ac:dyDescent="0.15">
      <c r="A55" s="44" t="s">
        <v>914</v>
      </c>
      <c r="B55" s="44" t="s">
        <v>923</v>
      </c>
      <c r="C55" s="44">
        <v>27.7</v>
      </c>
      <c r="D55" s="44" t="s">
        <v>371</v>
      </c>
      <c r="E55" s="44" t="s">
        <v>742</v>
      </c>
      <c r="F55" s="44">
        <v>1.1192000000000001E-2</v>
      </c>
      <c r="G55" s="44">
        <v>7.9000000000000001E-2</v>
      </c>
      <c r="H55" s="44">
        <v>23</v>
      </c>
      <c r="I55" s="44" t="s">
        <v>60</v>
      </c>
      <c r="J55" s="22">
        <f t="shared" si="2"/>
        <v>1.2302711153379164E-4</v>
      </c>
      <c r="K55" s="22" t="s">
        <v>359</v>
      </c>
    </row>
    <row r="56" spans="1:11" x14ac:dyDescent="0.15">
      <c r="A56" s="44" t="s">
        <v>914</v>
      </c>
      <c r="B56" s="44" t="s">
        <v>923</v>
      </c>
      <c r="C56" s="44">
        <v>27.7</v>
      </c>
      <c r="D56" s="44" t="s">
        <v>372</v>
      </c>
      <c r="E56" s="44" t="s">
        <v>742</v>
      </c>
      <c r="F56" s="44">
        <v>8.8509999999999995E-3</v>
      </c>
      <c r="G56" s="44">
        <v>6.5000000000000002E-2</v>
      </c>
      <c r="H56" s="44">
        <v>0</v>
      </c>
      <c r="I56" s="44" t="s">
        <v>60</v>
      </c>
      <c r="J56" s="22">
        <f t="shared" si="2"/>
        <v>1.2846153846153845E-4</v>
      </c>
      <c r="K56" s="22"/>
    </row>
    <row r="57" spans="1:11" x14ac:dyDescent="0.15">
      <c r="A57" s="44" t="s">
        <v>914</v>
      </c>
      <c r="B57" s="44" t="s">
        <v>923</v>
      </c>
      <c r="C57" s="44">
        <v>27.7</v>
      </c>
      <c r="D57" s="44" t="s">
        <v>373</v>
      </c>
      <c r="E57" s="44" t="s">
        <v>742</v>
      </c>
      <c r="F57" s="44">
        <v>2.8500000000000001E-3</v>
      </c>
      <c r="G57" s="44">
        <v>4.5999999999999999E-2</v>
      </c>
      <c r="H57" s="44">
        <v>0</v>
      </c>
      <c r="I57" s="44" t="s">
        <v>60</v>
      </c>
      <c r="J57" s="22">
        <f t="shared" si="2"/>
        <v>5.8449548810500418E-5</v>
      </c>
      <c r="K57" s="22"/>
    </row>
    <row r="58" spans="1:11" x14ac:dyDescent="0.15">
      <c r="A58" s="44" t="s">
        <v>914</v>
      </c>
      <c r="B58" s="44" t="s">
        <v>923</v>
      </c>
      <c r="C58" s="44">
        <v>27.7</v>
      </c>
      <c r="D58" s="44" t="s">
        <v>374</v>
      </c>
      <c r="E58" s="44" t="s">
        <v>742</v>
      </c>
      <c r="F58" s="44">
        <v>1.5630999999999999E-2</v>
      </c>
      <c r="G58" s="44">
        <v>7.1999999999999995E-2</v>
      </c>
      <c r="H58" s="44">
        <v>0</v>
      </c>
      <c r="I58" s="44" t="s">
        <v>60</v>
      </c>
      <c r="J58" s="22">
        <f t="shared" si="2"/>
        <v>2.0480870020964361E-4</v>
      </c>
      <c r="K58" s="22"/>
    </row>
    <row r="59" spans="1:11" x14ac:dyDescent="0.15">
      <c r="A59" s="44" t="s">
        <v>914</v>
      </c>
      <c r="B59" s="44" t="s">
        <v>923</v>
      </c>
      <c r="C59" s="44">
        <v>27.7</v>
      </c>
      <c r="D59" s="44" t="s">
        <v>375</v>
      </c>
      <c r="E59" s="44" t="s">
        <v>742</v>
      </c>
      <c r="F59" s="44">
        <v>3.3655999999999998E-2</v>
      </c>
      <c r="G59" s="44">
        <v>7.4999999999999997E-2</v>
      </c>
      <c r="H59" s="44">
        <v>0</v>
      </c>
      <c r="I59" s="44" t="s">
        <v>60</v>
      </c>
      <c r="J59" s="22">
        <f t="shared" si="2"/>
        <v>4.2334591194968552E-4</v>
      </c>
      <c r="K59" s="22"/>
    </row>
    <row r="60" spans="1:11" x14ac:dyDescent="0.15">
      <c r="A60" s="44" t="s">
        <v>914</v>
      </c>
      <c r="B60" s="44" t="s">
        <v>923</v>
      </c>
      <c r="C60" s="44">
        <v>27.7</v>
      </c>
      <c r="D60" s="44" t="s">
        <v>376</v>
      </c>
      <c r="E60" s="44" t="s">
        <v>742</v>
      </c>
      <c r="F60" s="44">
        <v>1.3860000000000001E-3</v>
      </c>
      <c r="G60" s="44">
        <v>3.5000000000000003E-2</v>
      </c>
      <c r="H60" s="44">
        <v>22</v>
      </c>
      <c r="I60" s="44" t="s">
        <v>60</v>
      </c>
      <c r="J60" s="22">
        <f t="shared" si="2"/>
        <v>3.4638189283815831E-5</v>
      </c>
      <c r="K60" s="22"/>
    </row>
    <row r="61" spans="1:11" x14ac:dyDescent="0.15">
      <c r="A61" s="44" t="s">
        <v>914</v>
      </c>
      <c r="B61" s="44" t="s">
        <v>923</v>
      </c>
      <c r="C61" s="44">
        <v>27.7</v>
      </c>
      <c r="D61" s="44" t="s">
        <v>384</v>
      </c>
      <c r="E61" s="44" t="s">
        <v>742</v>
      </c>
      <c r="F61" s="44">
        <v>7.979E-3</v>
      </c>
      <c r="G61" s="44">
        <v>5.3999999999999999E-2</v>
      </c>
      <c r="H61" s="44">
        <v>0</v>
      </c>
      <c r="I61" s="44" t="s">
        <v>60</v>
      </c>
      <c r="J61" s="22">
        <f t="shared" si="2"/>
        <v>1.3939552760307476E-4</v>
      </c>
      <c r="K61" s="22"/>
    </row>
    <row r="62" spans="1:11" x14ac:dyDescent="0.15">
      <c r="A62" s="44" t="s">
        <v>914</v>
      </c>
      <c r="B62" s="44" t="s">
        <v>923</v>
      </c>
      <c r="C62" s="44">
        <v>27.7</v>
      </c>
      <c r="D62" s="44" t="s">
        <v>385</v>
      </c>
      <c r="E62" s="44" t="s">
        <v>742</v>
      </c>
      <c r="F62" s="44">
        <v>3.168E-2</v>
      </c>
      <c r="G62" s="44">
        <v>0.12</v>
      </c>
      <c r="H62" s="44">
        <v>0</v>
      </c>
      <c r="I62" s="44" t="s">
        <v>60</v>
      </c>
      <c r="J62" s="22">
        <f t="shared" si="2"/>
        <v>2.4905660377358494E-4</v>
      </c>
      <c r="K62" s="22"/>
    </row>
    <row r="63" spans="1:11" x14ac:dyDescent="0.15">
      <c r="A63" s="44" t="s">
        <v>914</v>
      </c>
      <c r="B63" s="44" t="s">
        <v>923</v>
      </c>
      <c r="C63" s="44">
        <v>27.7</v>
      </c>
      <c r="D63" s="44" t="s">
        <v>386</v>
      </c>
      <c r="E63" s="44" t="s">
        <v>742</v>
      </c>
      <c r="F63" s="44">
        <v>0.1933</v>
      </c>
      <c r="G63" s="44">
        <v>0.17499999999999999</v>
      </c>
      <c r="H63" s="44">
        <v>0</v>
      </c>
      <c r="I63" s="44" t="s">
        <v>60</v>
      </c>
      <c r="J63" s="22">
        <f t="shared" si="2"/>
        <v>1.0420485175202155E-3</v>
      </c>
      <c r="K63" s="22"/>
    </row>
    <row r="64" spans="1:11" x14ac:dyDescent="0.15">
      <c r="A64" s="44" t="s">
        <v>914</v>
      </c>
      <c r="B64" s="44" t="s">
        <v>923</v>
      </c>
      <c r="C64" s="44">
        <v>27.7</v>
      </c>
      <c r="D64" s="44" t="s">
        <v>389</v>
      </c>
      <c r="E64" s="44" t="s">
        <v>742</v>
      </c>
      <c r="F64" s="44">
        <v>3.4307999999999998E-2</v>
      </c>
      <c r="G64" s="44">
        <v>6.6000000000000003E-2</v>
      </c>
      <c r="H64" s="44">
        <v>15</v>
      </c>
      <c r="I64" s="44" t="s">
        <v>60</v>
      </c>
      <c r="J64" s="22">
        <f t="shared" si="2"/>
        <v>4.7368472338944187E-4</v>
      </c>
      <c r="K64" s="22"/>
    </row>
    <row r="65" spans="1:11" x14ac:dyDescent="0.15">
      <c r="A65" s="44" t="s">
        <v>914</v>
      </c>
      <c r="B65" s="44" t="s">
        <v>923</v>
      </c>
      <c r="C65" s="44">
        <v>27.7</v>
      </c>
      <c r="D65" s="44" t="s">
        <v>390</v>
      </c>
      <c r="E65" s="44" t="s">
        <v>742</v>
      </c>
      <c r="F65" s="44">
        <v>9.2300000000000004E-3</v>
      </c>
      <c r="G65" s="44">
        <v>5.8999999999999997E-2</v>
      </c>
      <c r="H65" s="44">
        <v>0</v>
      </c>
      <c r="I65" s="44" t="s">
        <v>60</v>
      </c>
      <c r="J65" s="22">
        <f t="shared" si="2"/>
        <v>1.4758554525103935E-4</v>
      </c>
      <c r="K65" s="22"/>
    </row>
    <row r="66" spans="1:11" x14ac:dyDescent="0.15">
      <c r="A66" s="44" t="s">
        <v>914</v>
      </c>
      <c r="B66" s="44" t="s">
        <v>923</v>
      </c>
      <c r="C66" s="44">
        <v>27.7</v>
      </c>
      <c r="D66" s="44" t="s">
        <v>391</v>
      </c>
      <c r="E66" s="44" t="s">
        <v>742</v>
      </c>
      <c r="F66" s="44">
        <v>1.635E-2</v>
      </c>
      <c r="G66" s="44">
        <v>5.0999999999999997E-2</v>
      </c>
      <c r="H66" s="44">
        <v>38</v>
      </c>
      <c r="I66" s="44" t="s">
        <v>60</v>
      </c>
      <c r="J66" s="22">
        <f t="shared" si="2"/>
        <v>2.3832733669015732E-4</v>
      </c>
      <c r="K66" s="22"/>
    </row>
    <row r="67" spans="1:11" x14ac:dyDescent="0.15">
      <c r="A67" s="44" t="s">
        <v>914</v>
      </c>
      <c r="B67" s="44" t="s">
        <v>923</v>
      </c>
      <c r="C67" s="44">
        <v>27.7</v>
      </c>
      <c r="D67" s="44" t="s">
        <v>393</v>
      </c>
      <c r="E67" s="44" t="s">
        <v>742</v>
      </c>
      <c r="F67" s="44">
        <v>5.5395E-2</v>
      </c>
      <c r="G67" s="44">
        <v>4.4999999999999998E-2</v>
      </c>
      <c r="H67" s="44">
        <v>29</v>
      </c>
      <c r="I67" s="44" t="s">
        <v>60</v>
      </c>
      <c r="J67" s="22">
        <f t="shared" si="2"/>
        <v>1.0157140183854681E-3</v>
      </c>
      <c r="K67" s="22"/>
    </row>
    <row r="68" spans="1:11" x14ac:dyDescent="0.15">
      <c r="A68" s="44" t="s">
        <v>914</v>
      </c>
      <c r="B68" s="44" t="s">
        <v>923</v>
      </c>
      <c r="C68" s="44">
        <v>27.7</v>
      </c>
      <c r="D68" s="44" t="s">
        <v>394</v>
      </c>
      <c r="E68" s="44" t="s">
        <v>742</v>
      </c>
      <c r="F68" s="44">
        <v>2.3931999999999998E-2</v>
      </c>
      <c r="G68" s="44">
        <v>6.6000000000000003E-2</v>
      </c>
      <c r="H68" s="44">
        <v>19</v>
      </c>
      <c r="I68" s="44" t="s">
        <v>60</v>
      </c>
      <c r="J68" s="22">
        <f t="shared" si="2"/>
        <v>3.2344411879992632E-4</v>
      </c>
      <c r="K68" s="22"/>
    </row>
    <row r="69" spans="1:11" x14ac:dyDescent="0.15">
      <c r="A69" s="44" t="s">
        <v>914</v>
      </c>
      <c r="B69" s="44" t="s">
        <v>923</v>
      </c>
      <c r="C69" s="44">
        <v>27.7</v>
      </c>
      <c r="D69" s="44" t="s">
        <v>395</v>
      </c>
      <c r="E69" s="44" t="s">
        <v>742</v>
      </c>
      <c r="F69" s="44">
        <v>2.4680000000000001E-2</v>
      </c>
      <c r="G69" s="44">
        <v>5.5E-2</v>
      </c>
      <c r="H69" s="44">
        <v>25</v>
      </c>
      <c r="I69" s="44" t="s">
        <v>60</v>
      </c>
      <c r="J69" s="22">
        <f t="shared" si="2"/>
        <v>3.8366511464947719E-4</v>
      </c>
      <c r="K69" s="22"/>
    </row>
    <row r="70" spans="1:11" x14ac:dyDescent="0.15">
      <c r="A70" s="44" t="s">
        <v>914</v>
      </c>
      <c r="B70" s="44" t="s">
        <v>923</v>
      </c>
      <c r="C70" s="44">
        <v>27.7</v>
      </c>
      <c r="D70" s="44" t="s">
        <v>396</v>
      </c>
      <c r="E70" s="44" t="s">
        <v>742</v>
      </c>
      <c r="F70" s="44">
        <v>5.3200000000000001E-3</v>
      </c>
      <c r="G70" s="44">
        <v>6.8000000000000005E-2</v>
      </c>
      <c r="H70" s="44">
        <v>28</v>
      </c>
      <c r="I70" s="44" t="s">
        <v>60</v>
      </c>
      <c r="J70" s="22">
        <f t="shared" si="2"/>
        <v>6.5167608129987402E-5</v>
      </c>
      <c r="K70" s="22"/>
    </row>
    <row r="71" spans="1:11" x14ac:dyDescent="0.15">
      <c r="A71" s="44" t="s">
        <v>914</v>
      </c>
      <c r="B71" s="44" t="s">
        <v>923</v>
      </c>
      <c r="C71" s="44">
        <v>27.7</v>
      </c>
      <c r="D71" s="44" t="s">
        <v>370</v>
      </c>
      <c r="E71" s="44" t="s">
        <v>743</v>
      </c>
      <c r="F71" s="44">
        <v>2.5300000000000001E-3</v>
      </c>
      <c r="G71" s="44">
        <v>2.4E-2</v>
      </c>
      <c r="H71" s="44">
        <v>18</v>
      </c>
      <c r="I71" s="44" t="s">
        <v>60</v>
      </c>
      <c r="J71" s="22">
        <f t="shared" si="2"/>
        <v>9.458227147117682E-5</v>
      </c>
      <c r="K71" s="22"/>
    </row>
    <row r="72" spans="1:11" x14ac:dyDescent="0.15">
      <c r="A72" s="44" t="s">
        <v>914</v>
      </c>
      <c r="B72" s="44" t="s">
        <v>923</v>
      </c>
      <c r="C72" s="44">
        <v>27.7</v>
      </c>
      <c r="D72" s="44" t="s">
        <v>377</v>
      </c>
      <c r="E72" s="44" t="s">
        <v>743</v>
      </c>
      <c r="F72" s="44">
        <v>3.7000000000000002E-3</v>
      </c>
      <c r="G72" s="44">
        <v>2.1000000000000001E-2</v>
      </c>
      <c r="H72" s="44">
        <v>25</v>
      </c>
      <c r="I72" s="44" t="s">
        <v>60</v>
      </c>
      <c r="J72" s="22">
        <f t="shared" si="2"/>
        <v>1.5064415148407928E-4</v>
      </c>
      <c r="K72" s="22"/>
    </row>
    <row r="73" spans="1:11" x14ac:dyDescent="0.15">
      <c r="A73" s="44" t="s">
        <v>914</v>
      </c>
      <c r="B73" s="44" t="s">
        <v>923</v>
      </c>
      <c r="C73" s="44">
        <v>27.7</v>
      </c>
      <c r="D73" s="44" t="s">
        <v>378</v>
      </c>
      <c r="E73" s="44" t="s">
        <v>743</v>
      </c>
      <c r="F73" s="44">
        <v>2.1099999999999999E-3</v>
      </c>
      <c r="G73" s="44">
        <v>2.8000000000000001E-2</v>
      </c>
      <c r="H73" s="44">
        <v>10</v>
      </c>
      <c r="I73" s="44" t="s">
        <v>60</v>
      </c>
      <c r="J73" s="22">
        <f t="shared" si="2"/>
        <v>7.0011602387323418E-5</v>
      </c>
      <c r="K73" s="22"/>
    </row>
    <row r="74" spans="1:11" x14ac:dyDescent="0.15">
      <c r="A74" s="44" t="s">
        <v>914</v>
      </c>
      <c r="B74" s="44" t="s">
        <v>923</v>
      </c>
      <c r="C74" s="44">
        <v>27.7</v>
      </c>
      <c r="D74" s="44" t="s">
        <v>379</v>
      </c>
      <c r="E74" s="44" t="s">
        <v>743</v>
      </c>
      <c r="F74" s="44">
        <v>2.124E-3</v>
      </c>
      <c r="G74" s="44">
        <v>5.5E-2</v>
      </c>
      <c r="H74" s="44">
        <v>13</v>
      </c>
      <c r="I74" s="44" t="s">
        <v>60</v>
      </c>
      <c r="J74" s="22">
        <f t="shared" si="2"/>
        <v>3.5498490867990397E-5</v>
      </c>
      <c r="K74" s="22"/>
    </row>
    <row r="75" spans="1:11" x14ac:dyDescent="0.15">
      <c r="A75" s="44" t="s">
        <v>914</v>
      </c>
      <c r="B75" s="44" t="s">
        <v>923</v>
      </c>
      <c r="C75" s="44">
        <v>27.7</v>
      </c>
      <c r="D75" s="44" t="s">
        <v>380</v>
      </c>
      <c r="E75" s="44" t="s">
        <v>743</v>
      </c>
      <c r="F75" s="44">
        <v>1.3690000000000001E-2</v>
      </c>
      <c r="G75" s="44">
        <v>0.02</v>
      </c>
      <c r="H75" s="44">
        <v>26</v>
      </c>
      <c r="I75" s="44" t="s">
        <v>60</v>
      </c>
      <c r="J75" s="22">
        <f t="shared" si="2"/>
        <v>5.8040049499224512E-4</v>
      </c>
      <c r="K75" s="22"/>
    </row>
    <row r="76" spans="1:11" x14ac:dyDescent="0.15">
      <c r="A76" s="44" t="s">
        <v>914</v>
      </c>
      <c r="B76" s="44" t="s">
        <v>923</v>
      </c>
      <c r="C76" s="44">
        <v>27.7</v>
      </c>
      <c r="D76" s="44" t="s">
        <v>381</v>
      </c>
      <c r="E76" s="44" t="s">
        <v>743</v>
      </c>
      <c r="F76" s="44">
        <v>2.5100000000000001E-3</v>
      </c>
      <c r="G76" s="44">
        <v>5.6000000000000001E-2</v>
      </c>
      <c r="H76" s="44">
        <v>10</v>
      </c>
      <c r="I76" s="44" t="s">
        <v>60</v>
      </c>
      <c r="J76" s="22">
        <f t="shared" si="2"/>
        <v>4.1641972036062037E-5</v>
      </c>
      <c r="K76" s="22"/>
    </row>
    <row r="77" spans="1:11" x14ac:dyDescent="0.15">
      <c r="A77" s="44" t="s">
        <v>914</v>
      </c>
      <c r="B77" s="44" t="s">
        <v>923</v>
      </c>
      <c r="C77" s="44">
        <v>27.7</v>
      </c>
      <c r="D77" s="44" t="s">
        <v>382</v>
      </c>
      <c r="E77" s="44" t="s">
        <v>743</v>
      </c>
      <c r="F77" s="44">
        <v>5.9100000000000003E-3</v>
      </c>
      <c r="G77" s="44">
        <v>1.4999999999999999E-2</v>
      </c>
      <c r="H77" s="44">
        <v>28</v>
      </c>
      <c r="I77" s="44" t="s">
        <v>60</v>
      </c>
      <c r="J77" s="22">
        <f t="shared" si="2"/>
        <v>3.2818995432680876E-4</v>
      </c>
      <c r="K77" s="22"/>
    </row>
    <row r="78" spans="1:11" x14ac:dyDescent="0.15">
      <c r="A78" s="44" t="s">
        <v>914</v>
      </c>
      <c r="B78" s="44" t="s">
        <v>923</v>
      </c>
      <c r="C78" s="44">
        <v>27.7</v>
      </c>
      <c r="D78" s="44" t="s">
        <v>383</v>
      </c>
      <c r="E78" s="44" t="s">
        <v>743</v>
      </c>
      <c r="F78" s="44">
        <v>4.496E-3</v>
      </c>
      <c r="G78" s="44">
        <v>2.7E-2</v>
      </c>
      <c r="H78" s="44">
        <v>28</v>
      </c>
      <c r="I78" s="44" t="s">
        <v>60</v>
      </c>
      <c r="J78" s="22">
        <f t="shared" si="2"/>
        <v>1.38704834992793E-4</v>
      </c>
      <c r="K78" s="22"/>
    </row>
    <row r="79" spans="1:11" x14ac:dyDescent="0.15">
      <c r="A79" s="44" t="s">
        <v>914</v>
      </c>
      <c r="B79" s="44" t="s">
        <v>923</v>
      </c>
      <c r="C79" s="44">
        <v>27.7</v>
      </c>
      <c r="D79" s="44" t="s">
        <v>387</v>
      </c>
      <c r="E79" s="44" t="s">
        <v>743</v>
      </c>
      <c r="F79" s="44">
        <v>5.6499999999999996E-3</v>
      </c>
      <c r="G79" s="44">
        <v>0.01</v>
      </c>
      <c r="H79" s="44">
        <v>33</v>
      </c>
      <c r="I79" s="44" t="s">
        <v>60</v>
      </c>
      <c r="J79" s="22">
        <f t="shared" si="2"/>
        <v>4.4702723668789114E-4</v>
      </c>
      <c r="K79" s="22"/>
    </row>
    <row r="80" spans="1:11" x14ac:dyDescent="0.15">
      <c r="A80" s="44" t="s">
        <v>914</v>
      </c>
      <c r="B80" s="44" t="s">
        <v>923</v>
      </c>
      <c r="C80" s="44">
        <v>27.7</v>
      </c>
      <c r="D80" s="44" t="s">
        <v>388</v>
      </c>
      <c r="E80" s="44" t="s">
        <v>743</v>
      </c>
      <c r="F80" s="44">
        <v>1.197E-2</v>
      </c>
      <c r="G80" s="44">
        <v>2.4E-2</v>
      </c>
      <c r="H80" s="44">
        <v>23</v>
      </c>
      <c r="I80" s="44" t="s">
        <v>60</v>
      </c>
      <c r="J80" s="22">
        <f t="shared" si="2"/>
        <v>4.3311490156547604E-4</v>
      </c>
      <c r="K80" s="22"/>
    </row>
    <row r="81" spans="1:11" x14ac:dyDescent="0.15">
      <c r="A81" s="44" t="s">
        <v>914</v>
      </c>
      <c r="B81" s="44" t="s">
        <v>923</v>
      </c>
      <c r="C81" s="44">
        <v>27.7</v>
      </c>
      <c r="D81" s="44" t="s">
        <v>392</v>
      </c>
      <c r="E81" s="44" t="s">
        <v>743</v>
      </c>
      <c r="F81" s="44">
        <v>5.79E-3</v>
      </c>
      <c r="G81" s="44">
        <v>4.3999999999999997E-2</v>
      </c>
      <c r="H81" s="44">
        <v>20</v>
      </c>
      <c r="I81" s="44" t="s">
        <v>60</v>
      </c>
      <c r="J81" s="22">
        <f t="shared" si="2"/>
        <v>1.1665566625965715E-4</v>
      </c>
      <c r="K81" s="22"/>
    </row>
    <row r="82" spans="1:11" x14ac:dyDescent="0.15">
      <c r="A82" s="33" t="s">
        <v>64</v>
      </c>
      <c r="B82" s="33" t="s">
        <v>923</v>
      </c>
      <c r="C82" s="33">
        <v>278</v>
      </c>
      <c r="D82" s="33" t="s">
        <v>371</v>
      </c>
      <c r="E82" s="33" t="s">
        <v>742</v>
      </c>
      <c r="F82" s="33">
        <v>6.7599999999999993E-2</v>
      </c>
      <c r="G82" s="33">
        <v>0.124</v>
      </c>
      <c r="H82" s="33">
        <v>24</v>
      </c>
      <c r="I82" s="33" t="s">
        <v>60</v>
      </c>
      <c r="J82" s="22">
        <f t="shared" ref="J82:J113" si="3">F82*COS(RADIANS(H82))/(1060*G82)</f>
        <v>4.6983926458186103E-4</v>
      </c>
      <c r="K82" s="22" t="s">
        <v>398</v>
      </c>
    </row>
    <row r="83" spans="1:11" x14ac:dyDescent="0.15">
      <c r="A83" s="33" t="s">
        <v>64</v>
      </c>
      <c r="B83" s="33" t="s">
        <v>923</v>
      </c>
      <c r="C83" s="33">
        <v>278</v>
      </c>
      <c r="D83" s="33" t="s">
        <v>372</v>
      </c>
      <c r="E83" s="33" t="s">
        <v>742</v>
      </c>
      <c r="F83" s="33">
        <v>5.62E-2</v>
      </c>
      <c r="G83" s="33">
        <v>0.122</v>
      </c>
      <c r="H83" s="33">
        <v>0</v>
      </c>
      <c r="I83" s="33" t="s">
        <v>60</v>
      </c>
      <c r="J83" s="22">
        <f t="shared" si="3"/>
        <v>4.3458088462728121E-4</v>
      </c>
      <c r="K83" s="22"/>
    </row>
    <row r="84" spans="1:11" x14ac:dyDescent="0.15">
      <c r="A84" s="33" t="s">
        <v>64</v>
      </c>
      <c r="B84" s="33" t="s">
        <v>923</v>
      </c>
      <c r="C84" s="33">
        <v>278</v>
      </c>
      <c r="D84" s="33" t="s">
        <v>373</v>
      </c>
      <c r="E84" s="33" t="s">
        <v>742</v>
      </c>
      <c r="F84" s="33">
        <v>2.5999999999999999E-2</v>
      </c>
      <c r="G84" s="33">
        <v>5.8999999999999997E-2</v>
      </c>
      <c r="H84" s="33">
        <v>0</v>
      </c>
      <c r="I84" s="33" t="s">
        <v>60</v>
      </c>
      <c r="J84" s="22">
        <f t="shared" si="3"/>
        <v>4.1573393028461784E-4</v>
      </c>
      <c r="K84" s="22"/>
    </row>
    <row r="85" spans="1:11" x14ac:dyDescent="0.15">
      <c r="A85" s="33" t="s">
        <v>64</v>
      </c>
      <c r="B85" s="33" t="s">
        <v>923</v>
      </c>
      <c r="C85" s="33">
        <v>278</v>
      </c>
      <c r="D85" s="33" t="s">
        <v>374</v>
      </c>
      <c r="E85" s="33" t="s">
        <v>742</v>
      </c>
      <c r="F85" s="33">
        <v>0.13700000000000001</v>
      </c>
      <c r="G85" s="33">
        <v>0.108</v>
      </c>
      <c r="H85" s="33">
        <v>0</v>
      </c>
      <c r="I85" s="33" t="s">
        <v>60</v>
      </c>
      <c r="J85" s="22">
        <f t="shared" si="3"/>
        <v>1.1967155835080365E-3</v>
      </c>
      <c r="K85" s="22"/>
    </row>
    <row r="86" spans="1:11" x14ac:dyDescent="0.15">
      <c r="A86" s="33" t="s">
        <v>64</v>
      </c>
      <c r="B86" s="33" t="s">
        <v>923</v>
      </c>
      <c r="C86" s="33">
        <v>278</v>
      </c>
      <c r="D86" s="33" t="s">
        <v>375</v>
      </c>
      <c r="E86" s="33" t="s">
        <v>742</v>
      </c>
      <c r="F86" s="33">
        <v>0.251</v>
      </c>
      <c r="G86" s="33">
        <v>1.2E-2</v>
      </c>
      <c r="H86" s="33">
        <v>0</v>
      </c>
      <c r="I86" s="33" t="s">
        <v>60</v>
      </c>
      <c r="J86" s="22">
        <f t="shared" si="3"/>
        <v>1.9732704402515722E-2</v>
      </c>
      <c r="K86" s="22"/>
    </row>
    <row r="87" spans="1:11" x14ac:dyDescent="0.15">
      <c r="A87" s="33" t="s">
        <v>64</v>
      </c>
      <c r="B87" s="33" t="s">
        <v>923</v>
      </c>
      <c r="C87" s="33">
        <v>278</v>
      </c>
      <c r="D87" s="33" t="s">
        <v>376</v>
      </c>
      <c r="E87" s="33" t="s">
        <v>742</v>
      </c>
      <c r="F87" s="33">
        <v>7.6999999999999999E-2</v>
      </c>
      <c r="G87" s="33">
        <v>0.06</v>
      </c>
      <c r="H87" s="33">
        <v>21</v>
      </c>
      <c r="I87" s="33" t="s">
        <v>60</v>
      </c>
      <c r="J87" s="22">
        <f t="shared" si="3"/>
        <v>1.1302781893126502E-3</v>
      </c>
      <c r="K87" s="22"/>
    </row>
    <row r="88" spans="1:11" x14ac:dyDescent="0.15">
      <c r="A88" s="33" t="s">
        <v>64</v>
      </c>
      <c r="B88" s="33" t="s">
        <v>923</v>
      </c>
      <c r="C88" s="33">
        <v>278</v>
      </c>
      <c r="D88" s="33" t="s">
        <v>384</v>
      </c>
      <c r="E88" s="33" t="s">
        <v>742</v>
      </c>
      <c r="F88" s="33">
        <v>8.5199999999999998E-2</v>
      </c>
      <c r="G88" s="33">
        <v>0.111</v>
      </c>
      <c r="H88" s="33">
        <v>28</v>
      </c>
      <c r="I88" s="33" t="s">
        <v>60</v>
      </c>
      <c r="J88" s="22">
        <f t="shared" si="3"/>
        <v>6.3936031711355238E-4</v>
      </c>
      <c r="K88" s="22"/>
    </row>
    <row r="89" spans="1:11" x14ac:dyDescent="0.15">
      <c r="A89" s="33" t="s">
        <v>64</v>
      </c>
      <c r="B89" s="33" t="s">
        <v>923</v>
      </c>
      <c r="C89" s="33">
        <v>278</v>
      </c>
      <c r="D89" s="33" t="s">
        <v>385</v>
      </c>
      <c r="E89" s="33" t="s">
        <v>742</v>
      </c>
      <c r="F89" s="33">
        <v>0.1865</v>
      </c>
      <c r="G89" s="33">
        <v>0.22600000000000001</v>
      </c>
      <c r="H89" s="33">
        <v>0</v>
      </c>
      <c r="I89" s="33" t="s">
        <v>60</v>
      </c>
      <c r="J89" s="22">
        <f t="shared" si="3"/>
        <v>7.7851060277174815E-4</v>
      </c>
      <c r="K89" s="22"/>
    </row>
    <row r="90" spans="1:11" x14ac:dyDescent="0.15">
      <c r="A90" s="33" t="s">
        <v>64</v>
      </c>
      <c r="B90" s="33" t="s">
        <v>923</v>
      </c>
      <c r="C90" s="33">
        <v>278</v>
      </c>
      <c r="D90" s="33" t="s">
        <v>386</v>
      </c>
      <c r="E90" s="33" t="s">
        <v>742</v>
      </c>
      <c r="F90" s="33">
        <v>2.4982000000000002</v>
      </c>
      <c r="G90" s="33">
        <v>0.22</v>
      </c>
      <c r="H90" s="33">
        <v>0</v>
      </c>
      <c r="I90" s="33" t="s">
        <v>60</v>
      </c>
      <c r="J90" s="22">
        <f t="shared" si="3"/>
        <v>1.071269296740995E-2</v>
      </c>
      <c r="K90" s="22"/>
    </row>
    <row r="91" spans="1:11" x14ac:dyDescent="0.15">
      <c r="A91" s="33" t="s">
        <v>64</v>
      </c>
      <c r="B91" s="33" t="s">
        <v>923</v>
      </c>
      <c r="C91" s="33">
        <v>278</v>
      </c>
      <c r="D91" s="33" t="s">
        <v>389</v>
      </c>
      <c r="E91" s="33" t="s">
        <v>742</v>
      </c>
      <c r="F91" s="33">
        <v>9.6000000000000002E-2</v>
      </c>
      <c r="G91" s="33">
        <v>0.104</v>
      </c>
      <c r="H91" s="33">
        <v>0</v>
      </c>
      <c r="I91" s="33" t="s">
        <v>60</v>
      </c>
      <c r="J91" s="22">
        <f t="shared" si="3"/>
        <v>8.7082728592162558E-4</v>
      </c>
      <c r="K91" s="22"/>
    </row>
    <row r="92" spans="1:11" x14ac:dyDescent="0.15">
      <c r="A92" s="33" t="s">
        <v>64</v>
      </c>
      <c r="B92" s="33" t="s">
        <v>923</v>
      </c>
      <c r="C92" s="33">
        <v>278</v>
      </c>
      <c r="D92" s="33" t="s">
        <v>390</v>
      </c>
      <c r="E92" s="33" t="s">
        <v>742</v>
      </c>
      <c r="F92" s="33">
        <v>5.5199999999999999E-2</v>
      </c>
      <c r="G92" s="33">
        <v>8.8999999999999996E-2</v>
      </c>
      <c r="H92" s="33">
        <v>0</v>
      </c>
      <c r="I92" s="33" t="s">
        <v>60</v>
      </c>
      <c r="J92" s="22">
        <f t="shared" si="3"/>
        <v>5.8511765952936191E-4</v>
      </c>
      <c r="K92" s="22"/>
    </row>
    <row r="93" spans="1:11" x14ac:dyDescent="0.15">
      <c r="A93" s="33" t="s">
        <v>64</v>
      </c>
      <c r="B93" s="33" t="s">
        <v>923</v>
      </c>
      <c r="C93" s="33">
        <v>278</v>
      </c>
      <c r="D93" s="33" t="s">
        <v>391</v>
      </c>
      <c r="E93" s="33" t="s">
        <v>742</v>
      </c>
      <c r="F93" s="33">
        <v>0.1326</v>
      </c>
      <c r="G93" s="33">
        <v>8.3000000000000004E-2</v>
      </c>
      <c r="H93" s="33">
        <v>0</v>
      </c>
      <c r="I93" s="33" t="s">
        <v>60</v>
      </c>
      <c r="J93" s="22">
        <f t="shared" si="3"/>
        <v>1.5071607183450783E-3</v>
      </c>
      <c r="K93" s="22"/>
    </row>
    <row r="94" spans="1:11" x14ac:dyDescent="0.15">
      <c r="A94" s="33" t="s">
        <v>64</v>
      </c>
      <c r="B94" s="33" t="s">
        <v>923</v>
      </c>
      <c r="C94" s="33">
        <v>278</v>
      </c>
      <c r="D94" s="33" t="s">
        <v>393</v>
      </c>
      <c r="E94" s="33" t="s">
        <v>742</v>
      </c>
      <c r="F94" s="33">
        <v>0.47120000000000001</v>
      </c>
      <c r="G94" s="33">
        <v>6.2E-2</v>
      </c>
      <c r="H94" s="33">
        <v>23</v>
      </c>
      <c r="I94" s="33" t="s">
        <v>60</v>
      </c>
      <c r="J94" s="22">
        <f t="shared" si="3"/>
        <v>6.5998461190929685E-3</v>
      </c>
      <c r="K94" s="22"/>
    </row>
    <row r="95" spans="1:11" x14ac:dyDescent="0.15">
      <c r="A95" s="33" t="s">
        <v>64</v>
      </c>
      <c r="B95" s="33" t="s">
        <v>923</v>
      </c>
      <c r="C95" s="33">
        <v>278</v>
      </c>
      <c r="D95" s="33" t="s">
        <v>394</v>
      </c>
      <c r="E95" s="33" t="s">
        <v>742</v>
      </c>
      <c r="F95" s="33">
        <v>0.18140000000000001</v>
      </c>
      <c r="G95" s="33">
        <v>8.5000000000000006E-2</v>
      </c>
      <c r="H95" s="33">
        <v>18</v>
      </c>
      <c r="I95" s="33" t="s">
        <v>60</v>
      </c>
      <c r="J95" s="22">
        <f t="shared" si="3"/>
        <v>1.9147797120526175E-3</v>
      </c>
      <c r="K95" s="22"/>
    </row>
    <row r="96" spans="1:11" x14ac:dyDescent="0.15">
      <c r="A96" s="33" t="s">
        <v>64</v>
      </c>
      <c r="B96" s="33" t="s">
        <v>923</v>
      </c>
      <c r="C96" s="33">
        <v>278</v>
      </c>
      <c r="D96" s="33" t="s">
        <v>395</v>
      </c>
      <c r="E96" s="33" t="s">
        <v>742</v>
      </c>
      <c r="F96" s="33">
        <v>1.52E-2</v>
      </c>
      <c r="G96" s="33">
        <v>8.4000000000000005E-2</v>
      </c>
      <c r="H96" s="33">
        <v>22</v>
      </c>
      <c r="I96" s="33" t="s">
        <v>60</v>
      </c>
      <c r="J96" s="22">
        <f t="shared" si="3"/>
        <v>1.5827936421176065E-4</v>
      </c>
      <c r="K96" s="22"/>
    </row>
    <row r="97" spans="1:11" x14ac:dyDescent="0.15">
      <c r="A97" s="33" t="s">
        <v>64</v>
      </c>
      <c r="B97" s="33" t="s">
        <v>923</v>
      </c>
      <c r="C97" s="33">
        <v>278</v>
      </c>
      <c r="D97" s="33" t="s">
        <v>396</v>
      </c>
      <c r="E97" s="33" t="s">
        <v>742</v>
      </c>
      <c r="F97" s="33">
        <v>5.5599999999999997E-2</v>
      </c>
      <c r="G97" s="33">
        <v>1.2E-2</v>
      </c>
      <c r="H97" s="33">
        <v>0</v>
      </c>
      <c r="I97" s="33" t="s">
        <v>60</v>
      </c>
      <c r="J97" s="22">
        <f t="shared" si="3"/>
        <v>4.3710691823899365E-3</v>
      </c>
      <c r="K97" s="22"/>
    </row>
    <row r="98" spans="1:11" x14ac:dyDescent="0.15">
      <c r="A98" s="33" t="s">
        <v>64</v>
      </c>
      <c r="B98" s="33" t="s">
        <v>923</v>
      </c>
      <c r="C98" s="33">
        <v>278</v>
      </c>
      <c r="D98" s="33" t="s">
        <v>377</v>
      </c>
      <c r="E98" s="33" t="s">
        <v>743</v>
      </c>
      <c r="F98" s="33">
        <v>3.4500000000000003E-2</v>
      </c>
      <c r="G98" s="33">
        <v>4.8000000000000001E-2</v>
      </c>
      <c r="H98" s="33">
        <v>28</v>
      </c>
      <c r="I98" s="33" t="s">
        <v>60</v>
      </c>
      <c r="J98" s="22">
        <f t="shared" si="3"/>
        <v>5.9869677581825828E-4</v>
      </c>
      <c r="K98" s="22"/>
    </row>
    <row r="99" spans="1:11" x14ac:dyDescent="0.15">
      <c r="A99" s="33" t="s">
        <v>64</v>
      </c>
      <c r="B99" s="33" t="s">
        <v>923</v>
      </c>
      <c r="C99" s="33">
        <v>278</v>
      </c>
      <c r="D99" s="33" t="s">
        <v>378</v>
      </c>
      <c r="E99" s="33" t="s">
        <v>743</v>
      </c>
      <c r="F99" s="33">
        <v>2.4E-2</v>
      </c>
      <c r="G99" s="33">
        <v>6.4000000000000001E-2</v>
      </c>
      <c r="H99" s="33">
        <v>20</v>
      </c>
      <c r="I99" s="33" t="s">
        <v>60</v>
      </c>
      <c r="J99" s="22">
        <f t="shared" si="3"/>
        <v>3.3243842716482608E-4</v>
      </c>
      <c r="K99" s="22"/>
    </row>
    <row r="100" spans="1:11" x14ac:dyDescent="0.15">
      <c r="A100" s="33" t="s">
        <v>64</v>
      </c>
      <c r="B100" s="33" t="s">
        <v>923</v>
      </c>
      <c r="C100" s="33">
        <v>278</v>
      </c>
      <c r="D100" s="33" t="s">
        <v>379</v>
      </c>
      <c r="E100" s="33" t="s">
        <v>743</v>
      </c>
      <c r="F100" s="33">
        <v>2.18E-2</v>
      </c>
      <c r="G100" s="33">
        <v>8.3000000000000004E-2</v>
      </c>
      <c r="H100" s="33">
        <v>18</v>
      </c>
      <c r="I100" s="33" t="s">
        <v>60</v>
      </c>
      <c r="J100" s="22">
        <f t="shared" si="3"/>
        <v>2.3565619521748518E-4</v>
      </c>
      <c r="K100" s="22"/>
    </row>
    <row r="101" spans="1:11" x14ac:dyDescent="0.15">
      <c r="A101" s="33" t="s">
        <v>64</v>
      </c>
      <c r="B101" s="33" t="s">
        <v>923</v>
      </c>
      <c r="C101" s="33">
        <v>278</v>
      </c>
      <c r="D101" s="33" t="s">
        <v>380</v>
      </c>
      <c r="E101" s="33" t="s">
        <v>743</v>
      </c>
      <c r="F101" s="33">
        <v>0.1288</v>
      </c>
      <c r="G101" s="33">
        <v>3.1E-2</v>
      </c>
      <c r="H101" s="33">
        <v>32</v>
      </c>
      <c r="I101" s="33" t="s">
        <v>60</v>
      </c>
      <c r="J101" s="22">
        <f t="shared" si="3"/>
        <v>3.3240594882820349E-3</v>
      </c>
      <c r="K101" s="22"/>
    </row>
    <row r="102" spans="1:11" x14ac:dyDescent="0.15">
      <c r="A102" s="33" t="s">
        <v>64</v>
      </c>
      <c r="B102" s="33" t="s">
        <v>923</v>
      </c>
      <c r="C102" s="33">
        <v>278</v>
      </c>
      <c r="D102" s="33" t="s">
        <v>381</v>
      </c>
      <c r="E102" s="33" t="s">
        <v>743</v>
      </c>
      <c r="F102" s="33">
        <v>1.12E-2</v>
      </c>
      <c r="G102" s="33">
        <v>8.7999999999999995E-2</v>
      </c>
      <c r="H102" s="33">
        <v>15</v>
      </c>
      <c r="I102" s="33" t="s">
        <v>60</v>
      </c>
      <c r="J102" s="22">
        <f t="shared" si="3"/>
        <v>1.1597737193865313E-4</v>
      </c>
      <c r="K102" s="22"/>
    </row>
    <row r="103" spans="1:11" x14ac:dyDescent="0.15">
      <c r="A103" s="33" t="s">
        <v>64</v>
      </c>
      <c r="B103" s="33" t="s">
        <v>923</v>
      </c>
      <c r="C103" s="33">
        <v>278</v>
      </c>
      <c r="D103" s="33" t="s">
        <v>382</v>
      </c>
      <c r="E103" s="33" t="s">
        <v>743</v>
      </c>
      <c r="F103" s="33">
        <v>3.1600000000000003E-2</v>
      </c>
      <c r="G103" s="33">
        <v>3.5999999999999997E-2</v>
      </c>
      <c r="H103" s="33">
        <v>28</v>
      </c>
      <c r="I103" s="33" t="s">
        <v>60</v>
      </c>
      <c r="J103" s="22">
        <f t="shared" si="3"/>
        <v>7.3116205278674269E-4</v>
      </c>
      <c r="K103" s="22"/>
    </row>
    <row r="104" spans="1:11" x14ac:dyDescent="0.15">
      <c r="A104" s="33" t="s">
        <v>64</v>
      </c>
      <c r="B104" s="33" t="s">
        <v>923</v>
      </c>
      <c r="C104" s="33">
        <v>278</v>
      </c>
      <c r="D104" s="33" t="s">
        <v>383</v>
      </c>
      <c r="E104" s="33" t="s">
        <v>743</v>
      </c>
      <c r="F104" s="33">
        <v>3.56E-2</v>
      </c>
      <c r="G104" s="33">
        <v>3.5999999999999997E-2</v>
      </c>
      <c r="H104" s="33">
        <v>19</v>
      </c>
      <c r="I104" s="33" t="s">
        <v>60</v>
      </c>
      <c r="J104" s="22">
        <f t="shared" si="3"/>
        <v>8.8208756004548442E-4</v>
      </c>
      <c r="K104" s="22"/>
    </row>
    <row r="105" spans="1:11" x14ac:dyDescent="0.15">
      <c r="A105" s="33" t="s">
        <v>64</v>
      </c>
      <c r="B105" s="33" t="s">
        <v>923</v>
      </c>
      <c r="C105" s="33">
        <v>278</v>
      </c>
      <c r="D105" s="33" t="s">
        <v>387</v>
      </c>
      <c r="E105" s="33" t="s">
        <v>743</v>
      </c>
      <c r="F105" s="33">
        <v>0.15</v>
      </c>
      <c r="G105" s="33">
        <v>0.04</v>
      </c>
      <c r="H105" s="33">
        <v>30</v>
      </c>
      <c r="I105" s="33" t="s">
        <v>60</v>
      </c>
      <c r="J105" s="22">
        <f t="shared" si="3"/>
        <v>3.0637691171619295E-3</v>
      </c>
      <c r="K105" s="22"/>
    </row>
    <row r="106" spans="1:11" x14ac:dyDescent="0.15">
      <c r="A106" s="33" t="s">
        <v>64</v>
      </c>
      <c r="B106" s="33" t="s">
        <v>923</v>
      </c>
      <c r="C106" s="33">
        <v>278</v>
      </c>
      <c r="D106" s="33" t="s">
        <v>388</v>
      </c>
      <c r="E106" s="33" t="s">
        <v>743</v>
      </c>
      <c r="F106" s="33">
        <v>5.1999999999999998E-3</v>
      </c>
      <c r="G106" s="33">
        <v>0.08</v>
      </c>
      <c r="H106" s="33">
        <v>0</v>
      </c>
      <c r="I106" s="33" t="s">
        <v>60</v>
      </c>
      <c r="J106" s="22">
        <f t="shared" si="3"/>
        <v>6.1320754716981133E-5</v>
      </c>
      <c r="K106" s="22"/>
    </row>
    <row r="107" spans="1:11" x14ac:dyDescent="0.15">
      <c r="A107" s="33" t="s">
        <v>64</v>
      </c>
      <c r="B107" s="33" t="s">
        <v>923</v>
      </c>
      <c r="C107" s="33">
        <v>278</v>
      </c>
      <c r="D107" s="33" t="s">
        <v>392</v>
      </c>
      <c r="E107" s="33" t="s">
        <v>743</v>
      </c>
      <c r="F107" s="33">
        <v>3.32E-2</v>
      </c>
      <c r="G107" s="33">
        <v>0.09</v>
      </c>
      <c r="H107" s="33">
        <v>22</v>
      </c>
      <c r="I107" s="33" t="s">
        <v>60</v>
      </c>
      <c r="J107" s="22">
        <f t="shared" si="3"/>
        <v>3.2266775651590505E-4</v>
      </c>
      <c r="K107" s="22"/>
    </row>
    <row r="108" spans="1:11" x14ac:dyDescent="0.15">
      <c r="A108" s="28" t="s">
        <v>68</v>
      </c>
      <c r="B108" s="28" t="s">
        <v>923</v>
      </c>
      <c r="C108" s="28">
        <v>90</v>
      </c>
      <c r="D108" s="28" t="s">
        <v>371</v>
      </c>
      <c r="E108" s="28" t="s">
        <v>742</v>
      </c>
      <c r="F108" s="28">
        <v>2.4680000000000001E-2</v>
      </c>
      <c r="G108" s="28">
        <v>7.1999999999999995E-2</v>
      </c>
      <c r="H108" s="28">
        <v>0</v>
      </c>
      <c r="I108" s="28" t="s">
        <v>60</v>
      </c>
      <c r="J108" s="22">
        <f t="shared" si="3"/>
        <v>3.2337526205450737E-4</v>
      </c>
      <c r="K108" s="22" t="s">
        <v>399</v>
      </c>
    </row>
    <row r="109" spans="1:11" x14ac:dyDescent="0.15">
      <c r="A109" s="28" t="s">
        <v>68</v>
      </c>
      <c r="B109" s="28" t="s">
        <v>923</v>
      </c>
      <c r="C109" s="28">
        <v>90</v>
      </c>
      <c r="D109" s="28" t="s">
        <v>372</v>
      </c>
      <c r="E109" s="28" t="s">
        <v>742</v>
      </c>
      <c r="F109" s="28">
        <v>1.472E-2</v>
      </c>
      <c r="G109" s="28">
        <v>6.8000000000000005E-2</v>
      </c>
      <c r="H109" s="28">
        <v>34</v>
      </c>
      <c r="I109" s="28" t="s">
        <v>60</v>
      </c>
      <c r="J109" s="22">
        <f t="shared" si="3"/>
        <v>1.6930401037750019E-4</v>
      </c>
      <c r="K109" s="22"/>
    </row>
    <row r="110" spans="1:11" x14ac:dyDescent="0.15">
      <c r="A110" s="28" t="s">
        <v>68</v>
      </c>
      <c r="B110" s="28" t="s">
        <v>923</v>
      </c>
      <c r="C110" s="28">
        <v>90</v>
      </c>
      <c r="D110" s="28" t="s">
        <v>373</v>
      </c>
      <c r="E110" s="28" t="s">
        <v>742</v>
      </c>
      <c r="F110" s="28">
        <v>3.2000000000000002E-3</v>
      </c>
      <c r="G110" s="28">
        <v>1.9E-2</v>
      </c>
      <c r="H110" s="28">
        <v>0</v>
      </c>
      <c r="I110" s="28" t="s">
        <v>60</v>
      </c>
      <c r="J110" s="22">
        <f t="shared" si="3"/>
        <v>1.5888778550148959E-4</v>
      </c>
      <c r="K110" s="22"/>
    </row>
    <row r="111" spans="1:11" x14ac:dyDescent="0.15">
      <c r="A111" s="28" t="s">
        <v>68</v>
      </c>
      <c r="B111" s="28" t="s">
        <v>923</v>
      </c>
      <c r="C111" s="28">
        <v>90</v>
      </c>
      <c r="D111" s="28" t="s">
        <v>374</v>
      </c>
      <c r="E111" s="28" t="s">
        <v>742</v>
      </c>
      <c r="F111" s="28">
        <v>2.8160000000000001E-2</v>
      </c>
      <c r="G111" s="28">
        <v>6.8000000000000005E-2</v>
      </c>
      <c r="H111" s="28">
        <v>0</v>
      </c>
      <c r="I111" s="28" t="s">
        <v>60</v>
      </c>
      <c r="J111" s="22">
        <f t="shared" si="3"/>
        <v>3.9067702552719204E-4</v>
      </c>
      <c r="K111" s="22"/>
    </row>
    <row r="112" spans="1:11" x14ac:dyDescent="0.15">
      <c r="A112" s="28" t="s">
        <v>68</v>
      </c>
      <c r="B112" s="28" t="s">
        <v>923</v>
      </c>
      <c r="C112" s="28">
        <v>90</v>
      </c>
      <c r="D112" s="28" t="s">
        <v>375</v>
      </c>
      <c r="E112" s="28" t="s">
        <v>742</v>
      </c>
      <c r="F112" s="28">
        <v>7.8710000000000002E-2</v>
      </c>
      <c r="G112" s="28">
        <v>8.1000000000000003E-2</v>
      </c>
      <c r="H112" s="28">
        <v>0</v>
      </c>
      <c r="I112" s="28" t="s">
        <v>60</v>
      </c>
      <c r="J112" s="22">
        <f t="shared" si="3"/>
        <v>9.1672490100163056E-4</v>
      </c>
      <c r="K112" s="22"/>
    </row>
    <row r="113" spans="1:11" x14ac:dyDescent="0.15">
      <c r="A113" s="28" t="s">
        <v>68</v>
      </c>
      <c r="B113" s="28" t="s">
        <v>923</v>
      </c>
      <c r="C113" s="28">
        <v>90</v>
      </c>
      <c r="D113" s="28" t="s">
        <v>376</v>
      </c>
      <c r="E113" s="28" t="s">
        <v>742</v>
      </c>
      <c r="F113" s="28">
        <v>1.55E-2</v>
      </c>
      <c r="G113" s="28">
        <v>2.5999999999999999E-2</v>
      </c>
      <c r="H113" s="28">
        <v>26</v>
      </c>
      <c r="I113" s="28" t="s">
        <v>60</v>
      </c>
      <c r="J113" s="22">
        <f t="shared" si="3"/>
        <v>5.0549012037870422E-4</v>
      </c>
      <c r="K113" s="22"/>
    </row>
    <row r="114" spans="1:11" x14ac:dyDescent="0.15">
      <c r="A114" s="28" t="s">
        <v>68</v>
      </c>
      <c r="B114" s="28" t="s">
        <v>923</v>
      </c>
      <c r="C114" s="28">
        <v>90</v>
      </c>
      <c r="D114" s="28" t="s">
        <v>385</v>
      </c>
      <c r="E114" s="28" t="s">
        <v>742</v>
      </c>
      <c r="F114" s="28">
        <v>0.13486000000000001</v>
      </c>
      <c r="G114" s="28">
        <v>0.124</v>
      </c>
      <c r="H114" s="28">
        <v>0</v>
      </c>
      <c r="I114" s="28" t="s">
        <v>60</v>
      </c>
      <c r="J114" s="22">
        <f t="shared" ref="J114:J145" si="4">F114*COS(RADIANS(H114))/(1060*G114)</f>
        <v>1.026019476567255E-3</v>
      </c>
      <c r="K114" s="22"/>
    </row>
    <row r="115" spans="1:11" x14ac:dyDescent="0.15">
      <c r="A115" s="28" t="s">
        <v>68</v>
      </c>
      <c r="B115" s="28" t="s">
        <v>923</v>
      </c>
      <c r="C115" s="28">
        <v>90</v>
      </c>
      <c r="D115" s="28" t="s">
        <v>386</v>
      </c>
      <c r="E115" s="28" t="s">
        <v>742</v>
      </c>
      <c r="F115" s="28">
        <v>0.51400000000000001</v>
      </c>
      <c r="G115" s="28">
        <v>0.159</v>
      </c>
      <c r="H115" s="28">
        <v>0</v>
      </c>
      <c r="I115" s="28" t="s">
        <v>60</v>
      </c>
      <c r="J115" s="22">
        <f t="shared" si="4"/>
        <v>3.0497211344487959E-3</v>
      </c>
      <c r="K115" s="22"/>
    </row>
    <row r="116" spans="1:11" x14ac:dyDescent="0.15">
      <c r="A116" s="28" t="s">
        <v>68</v>
      </c>
      <c r="B116" s="28" t="s">
        <v>923</v>
      </c>
      <c r="C116" s="28">
        <v>90</v>
      </c>
      <c r="D116" s="28" t="s">
        <v>389</v>
      </c>
      <c r="E116" s="28" t="s">
        <v>742</v>
      </c>
      <c r="F116" s="28">
        <v>6.651E-2</v>
      </c>
      <c r="G116" s="28">
        <v>5.3999999999999999E-2</v>
      </c>
      <c r="H116" s="28">
        <v>16</v>
      </c>
      <c r="I116" s="28" t="s">
        <v>60</v>
      </c>
      <c r="J116" s="22">
        <f t="shared" si="4"/>
        <v>1.1169377253119773E-3</v>
      </c>
      <c r="K116" s="22"/>
    </row>
    <row r="117" spans="1:11" x14ac:dyDescent="0.15">
      <c r="A117" s="28" t="s">
        <v>68</v>
      </c>
      <c r="B117" s="28" t="s">
        <v>923</v>
      </c>
      <c r="C117" s="28">
        <v>90</v>
      </c>
      <c r="D117" s="28" t="s">
        <v>390</v>
      </c>
      <c r="E117" s="28" t="s">
        <v>742</v>
      </c>
      <c r="F117" s="28">
        <v>2.12E-2</v>
      </c>
      <c r="G117" s="28">
        <v>6.8000000000000005E-2</v>
      </c>
      <c r="H117" s="28">
        <v>0</v>
      </c>
      <c r="I117" s="28" t="s">
        <v>60</v>
      </c>
      <c r="J117" s="22">
        <f t="shared" si="4"/>
        <v>2.9411764705882356E-4</v>
      </c>
      <c r="K117" s="22"/>
    </row>
    <row r="118" spans="1:11" x14ac:dyDescent="0.15">
      <c r="A118" s="28" t="s">
        <v>68</v>
      </c>
      <c r="B118" s="28" t="s">
        <v>923</v>
      </c>
      <c r="C118" s="28">
        <v>90</v>
      </c>
      <c r="D118" s="28" t="s">
        <v>391</v>
      </c>
      <c r="E118" s="28" t="s">
        <v>742</v>
      </c>
      <c r="F118" s="28">
        <v>2.7310000000000001E-2</v>
      </c>
      <c r="G118" s="28">
        <v>4.2999999999999997E-2</v>
      </c>
      <c r="H118" s="28">
        <v>23</v>
      </c>
      <c r="I118" s="28" t="s">
        <v>60</v>
      </c>
      <c r="J118" s="22">
        <f t="shared" si="4"/>
        <v>5.5153548810412789E-4</v>
      </c>
      <c r="K118" s="22"/>
    </row>
    <row r="119" spans="1:11" x14ac:dyDescent="0.15">
      <c r="A119" s="28" t="s">
        <v>68</v>
      </c>
      <c r="B119" s="28" t="s">
        <v>923</v>
      </c>
      <c r="C119" s="28">
        <v>90</v>
      </c>
      <c r="D119" s="28" t="s">
        <v>393</v>
      </c>
      <c r="E119" s="28" t="s">
        <v>742</v>
      </c>
      <c r="F119" s="28">
        <v>6.2549999999999994E-2</v>
      </c>
      <c r="G119" s="28">
        <v>2.1000000000000001E-2</v>
      </c>
      <c r="H119" s="28">
        <v>35</v>
      </c>
      <c r="I119" s="28" t="s">
        <v>60</v>
      </c>
      <c r="J119" s="22">
        <f t="shared" si="4"/>
        <v>2.3017951648821398E-3</v>
      </c>
      <c r="K119" s="22"/>
    </row>
    <row r="120" spans="1:11" x14ac:dyDescent="0.15">
      <c r="A120" s="28" t="s">
        <v>68</v>
      </c>
      <c r="B120" s="28" t="s">
        <v>923</v>
      </c>
      <c r="C120" s="28">
        <v>90</v>
      </c>
      <c r="D120" s="28" t="s">
        <v>394</v>
      </c>
      <c r="E120" s="28" t="s">
        <v>742</v>
      </c>
      <c r="F120" s="28">
        <v>5.561E-2</v>
      </c>
      <c r="G120" s="28">
        <v>0.05</v>
      </c>
      <c r="H120" s="28">
        <v>11</v>
      </c>
      <c r="I120" s="28" t="s">
        <v>60</v>
      </c>
      <c r="J120" s="22">
        <f t="shared" si="4"/>
        <v>1.0299676919155584E-3</v>
      </c>
      <c r="K120" s="22"/>
    </row>
    <row r="121" spans="1:11" x14ac:dyDescent="0.15">
      <c r="A121" s="28" t="s">
        <v>68</v>
      </c>
      <c r="B121" s="28" t="s">
        <v>923</v>
      </c>
      <c r="C121" s="28">
        <v>90</v>
      </c>
      <c r="D121" s="28" t="s">
        <v>395</v>
      </c>
      <c r="E121" s="28" t="s">
        <v>742</v>
      </c>
      <c r="F121" s="28">
        <v>5.7529999999999998E-2</v>
      </c>
      <c r="G121" s="28">
        <v>2.5999999999999999E-2</v>
      </c>
      <c r="H121" s="28">
        <v>45</v>
      </c>
      <c r="I121" s="28" t="s">
        <v>60</v>
      </c>
      <c r="J121" s="22">
        <f t="shared" si="4"/>
        <v>1.4760469202344732E-3</v>
      </c>
      <c r="K121" s="22"/>
    </row>
    <row r="122" spans="1:11" x14ac:dyDescent="0.15">
      <c r="A122" s="28" t="s">
        <v>68</v>
      </c>
      <c r="B122" s="28" t="s">
        <v>923</v>
      </c>
      <c r="C122" s="28">
        <v>90</v>
      </c>
      <c r="D122" s="28" t="s">
        <v>396</v>
      </c>
      <c r="E122" s="28" t="s">
        <v>742</v>
      </c>
      <c r="F122" s="28">
        <v>1.4540000000000001E-2</v>
      </c>
      <c r="G122" s="28">
        <v>6.6000000000000003E-2</v>
      </c>
      <c r="H122" s="28">
        <v>0</v>
      </c>
      <c r="I122" s="28" t="s">
        <v>60</v>
      </c>
      <c r="J122" s="22">
        <f t="shared" si="4"/>
        <v>2.0783304745568894E-4</v>
      </c>
      <c r="K122" s="22"/>
    </row>
    <row r="123" spans="1:11" x14ac:dyDescent="0.15">
      <c r="A123" s="28" t="s">
        <v>68</v>
      </c>
      <c r="B123" s="28" t="s">
        <v>923</v>
      </c>
      <c r="C123" s="28">
        <v>90</v>
      </c>
      <c r="D123" s="28" t="s">
        <v>370</v>
      </c>
      <c r="E123" s="28" t="s">
        <v>743</v>
      </c>
      <c r="F123" s="28">
        <v>8.6700000000000006E-3</v>
      </c>
      <c r="G123" s="28">
        <v>2.1999999999999999E-2</v>
      </c>
      <c r="H123" s="28">
        <v>40</v>
      </c>
      <c r="I123" s="28" t="s">
        <v>60</v>
      </c>
      <c r="J123" s="22">
        <f t="shared" si="4"/>
        <v>2.8480297263471437E-4</v>
      </c>
      <c r="K123" s="22"/>
    </row>
    <row r="124" spans="1:11" x14ac:dyDescent="0.15">
      <c r="A124" s="28" t="s">
        <v>68</v>
      </c>
      <c r="B124" s="28" t="s">
        <v>923</v>
      </c>
      <c r="C124" s="28">
        <v>90</v>
      </c>
      <c r="D124" s="28" t="s">
        <v>377</v>
      </c>
      <c r="E124" s="28" t="s">
        <v>743</v>
      </c>
      <c r="F124" s="28">
        <v>6.1199999999999996E-3</v>
      </c>
      <c r="G124" s="28">
        <v>1.6E-2</v>
      </c>
      <c r="H124" s="28">
        <v>32</v>
      </c>
      <c r="I124" s="28" t="s">
        <v>60</v>
      </c>
      <c r="J124" s="22">
        <f t="shared" si="4"/>
        <v>3.0601735545267251E-4</v>
      </c>
      <c r="K124" s="22"/>
    </row>
    <row r="125" spans="1:11" x14ac:dyDescent="0.15">
      <c r="A125" s="28" t="s">
        <v>68</v>
      </c>
      <c r="B125" s="28" t="s">
        <v>923</v>
      </c>
      <c r="C125" s="28">
        <v>90</v>
      </c>
      <c r="D125" s="28" t="s">
        <v>378</v>
      </c>
      <c r="E125" s="28" t="s">
        <v>743</v>
      </c>
      <c r="F125" s="28">
        <v>5.1000000000000004E-3</v>
      </c>
      <c r="G125" s="28">
        <v>3.4000000000000002E-2</v>
      </c>
      <c r="H125" s="28">
        <v>32</v>
      </c>
      <c r="I125" s="28" t="s">
        <v>60</v>
      </c>
      <c r="J125" s="22">
        <f t="shared" si="4"/>
        <v>1.2000680605987162E-4</v>
      </c>
      <c r="K125" s="22"/>
    </row>
    <row r="126" spans="1:11" x14ac:dyDescent="0.15">
      <c r="A126" s="28" t="s">
        <v>68</v>
      </c>
      <c r="B126" s="28" t="s">
        <v>923</v>
      </c>
      <c r="C126" s="28">
        <v>90</v>
      </c>
      <c r="D126" s="28" t="s">
        <v>379</v>
      </c>
      <c r="E126" s="28" t="s">
        <v>743</v>
      </c>
      <c r="F126" s="28">
        <v>4.9100000000000003E-3</v>
      </c>
      <c r="G126" s="28">
        <v>2.1999999999999999E-2</v>
      </c>
      <c r="H126" s="28">
        <v>13</v>
      </c>
      <c r="I126" s="28" t="s">
        <v>60</v>
      </c>
      <c r="J126" s="22">
        <f t="shared" si="4"/>
        <v>2.0515253079311771E-4</v>
      </c>
      <c r="K126" s="22"/>
    </row>
    <row r="127" spans="1:11" x14ac:dyDescent="0.15">
      <c r="A127" s="28" t="s">
        <v>68</v>
      </c>
      <c r="B127" s="28" t="s">
        <v>923</v>
      </c>
      <c r="C127" s="28">
        <v>90</v>
      </c>
      <c r="D127" s="28" t="s">
        <v>380</v>
      </c>
      <c r="E127" s="28" t="s">
        <v>743</v>
      </c>
      <c r="F127" s="28">
        <v>2.862E-2</v>
      </c>
      <c r="G127" s="28">
        <v>1.2E-2</v>
      </c>
      <c r="H127" s="28">
        <v>31</v>
      </c>
      <c r="I127" s="28" t="s">
        <v>60</v>
      </c>
      <c r="J127" s="22">
        <f t="shared" si="4"/>
        <v>1.9286264265797528E-3</v>
      </c>
      <c r="K127" s="22"/>
    </row>
    <row r="128" spans="1:11" x14ac:dyDescent="0.15">
      <c r="A128" s="28" t="s">
        <v>68</v>
      </c>
      <c r="B128" s="28" t="s">
        <v>923</v>
      </c>
      <c r="C128" s="28">
        <v>90</v>
      </c>
      <c r="D128" s="28" t="s">
        <v>381</v>
      </c>
      <c r="E128" s="28" t="s">
        <v>743</v>
      </c>
      <c r="F128" s="28">
        <v>4.7600000000000003E-3</v>
      </c>
      <c r="G128" s="28">
        <v>0.04</v>
      </c>
      <c r="H128" s="28">
        <v>20</v>
      </c>
      <c r="I128" s="28" t="s">
        <v>60</v>
      </c>
      <c r="J128" s="22">
        <f t="shared" si="4"/>
        <v>1.0549379422030483E-4</v>
      </c>
      <c r="K128" s="22"/>
    </row>
    <row r="129" spans="1:11" x14ac:dyDescent="0.15">
      <c r="A129" s="28" t="s">
        <v>68</v>
      </c>
      <c r="B129" s="28" t="s">
        <v>923</v>
      </c>
      <c r="C129" s="28">
        <v>90</v>
      </c>
      <c r="D129" s="28" t="s">
        <v>382</v>
      </c>
      <c r="E129" s="28" t="s">
        <v>743</v>
      </c>
      <c r="F129" s="28">
        <v>1.2999999999999999E-3</v>
      </c>
      <c r="G129" s="28">
        <v>1.6E-2</v>
      </c>
      <c r="H129" s="28">
        <v>27</v>
      </c>
      <c r="I129" s="28" t="s">
        <v>60</v>
      </c>
      <c r="J129" s="22">
        <f t="shared" si="4"/>
        <v>6.8296490651231014E-5</v>
      </c>
      <c r="K129" s="22"/>
    </row>
    <row r="130" spans="1:11" x14ac:dyDescent="0.15">
      <c r="A130" s="28" t="s">
        <v>68</v>
      </c>
      <c r="B130" s="28" t="s">
        <v>923</v>
      </c>
      <c r="C130" s="28">
        <v>90</v>
      </c>
      <c r="D130" s="28" t="s">
        <v>383</v>
      </c>
      <c r="E130" s="28" t="s">
        <v>743</v>
      </c>
      <c r="F130" s="28">
        <v>9.6699999999999998E-3</v>
      </c>
      <c r="G130" s="28">
        <v>1.7999999999999999E-2</v>
      </c>
      <c r="H130" s="28">
        <v>21</v>
      </c>
      <c r="I130" s="28" t="s">
        <v>60</v>
      </c>
      <c r="J130" s="22">
        <f t="shared" si="4"/>
        <v>4.7315108617546861E-4</v>
      </c>
      <c r="K130" s="22"/>
    </row>
    <row r="131" spans="1:11" x14ac:dyDescent="0.15">
      <c r="A131" s="28" t="s">
        <v>68</v>
      </c>
      <c r="B131" s="28" t="s">
        <v>923</v>
      </c>
      <c r="C131" s="28">
        <v>90</v>
      </c>
      <c r="D131" s="28" t="s">
        <v>387</v>
      </c>
      <c r="E131" s="28" t="s">
        <v>743</v>
      </c>
      <c r="F131" s="28">
        <v>9.6100000000000005E-3</v>
      </c>
      <c r="G131" s="28">
        <v>8.9999999999999993E-3</v>
      </c>
      <c r="H131" s="28">
        <v>41</v>
      </c>
      <c r="I131" s="28" t="s">
        <v>60</v>
      </c>
      <c r="J131" s="22">
        <f t="shared" si="4"/>
        <v>7.6024728154516145E-4</v>
      </c>
      <c r="K131" s="22"/>
    </row>
    <row r="132" spans="1:11" x14ac:dyDescent="0.15">
      <c r="A132" s="28" t="s">
        <v>68</v>
      </c>
      <c r="B132" s="28" t="s">
        <v>923</v>
      </c>
      <c r="C132" s="28">
        <v>90</v>
      </c>
      <c r="D132" s="28" t="s">
        <v>388</v>
      </c>
      <c r="E132" s="28" t="s">
        <v>743</v>
      </c>
      <c r="F132" s="28">
        <v>2.435E-2</v>
      </c>
      <c r="G132" s="28">
        <v>2.4E-2</v>
      </c>
      <c r="H132" s="28">
        <v>31</v>
      </c>
      <c r="I132" s="28" t="s">
        <v>60</v>
      </c>
      <c r="J132" s="22">
        <f t="shared" si="4"/>
        <v>8.2044118601007994E-4</v>
      </c>
      <c r="K132" s="22"/>
    </row>
    <row r="133" spans="1:11" x14ac:dyDescent="0.15">
      <c r="A133" s="28" t="s">
        <v>68</v>
      </c>
      <c r="B133" s="28" t="s">
        <v>923</v>
      </c>
      <c r="C133" s="28">
        <v>90</v>
      </c>
      <c r="D133" s="28" t="s">
        <v>392</v>
      </c>
      <c r="E133" s="28" t="s">
        <v>743</v>
      </c>
      <c r="F133" s="28">
        <v>9.5200000000000007E-3</v>
      </c>
      <c r="G133" s="28">
        <v>4.9000000000000002E-2</v>
      </c>
      <c r="H133" s="28">
        <v>43</v>
      </c>
      <c r="I133" s="28" t="s">
        <v>60</v>
      </c>
      <c r="J133" s="22">
        <f t="shared" si="4"/>
        <v>1.3404865690054877E-4</v>
      </c>
      <c r="K133" s="22"/>
    </row>
    <row r="134" spans="1:11" x14ac:dyDescent="0.15">
      <c r="A134" s="24" t="s">
        <v>67</v>
      </c>
      <c r="B134" s="24" t="s">
        <v>923</v>
      </c>
      <c r="C134" s="24">
        <v>10.199999999999999</v>
      </c>
      <c r="D134" s="24" t="s">
        <v>371</v>
      </c>
      <c r="E134" s="24" t="s">
        <v>742</v>
      </c>
      <c r="F134" s="24">
        <v>5.6499999999999996E-3</v>
      </c>
      <c r="G134" s="24">
        <v>4.3999999999999997E-2</v>
      </c>
      <c r="H134" s="24">
        <v>21</v>
      </c>
      <c r="I134" s="24" t="s">
        <v>60</v>
      </c>
      <c r="J134" s="22">
        <f t="shared" si="4"/>
        <v>1.1309454137455381E-4</v>
      </c>
      <c r="K134" s="22" t="s">
        <v>878</v>
      </c>
    </row>
    <row r="135" spans="1:11" x14ac:dyDescent="0.15">
      <c r="A135" s="24" t="s">
        <v>67</v>
      </c>
      <c r="B135" s="24" t="s">
        <v>923</v>
      </c>
      <c r="C135" s="24">
        <v>10.199999999999999</v>
      </c>
      <c r="D135" s="24" t="s">
        <v>372</v>
      </c>
      <c r="E135" s="24" t="s">
        <v>742</v>
      </c>
      <c r="F135" s="24">
        <v>3.13E-3</v>
      </c>
      <c r="G135" s="24">
        <v>5.1999999999999998E-2</v>
      </c>
      <c r="H135" s="24">
        <v>0</v>
      </c>
      <c r="I135" s="24" t="s">
        <v>60</v>
      </c>
      <c r="J135" s="22">
        <f t="shared" si="4"/>
        <v>5.6785195936139335E-5</v>
      </c>
      <c r="K135" s="22"/>
    </row>
    <row r="136" spans="1:11" x14ac:dyDescent="0.15">
      <c r="A136" s="24" t="s">
        <v>67</v>
      </c>
      <c r="B136" s="24" t="s">
        <v>923</v>
      </c>
      <c r="C136" s="24">
        <v>10.199999999999999</v>
      </c>
      <c r="D136" s="24" t="s">
        <v>373</v>
      </c>
      <c r="E136" s="24" t="s">
        <v>742</v>
      </c>
      <c r="F136" s="24">
        <v>2.33E-3</v>
      </c>
      <c r="G136" s="24">
        <v>2.8000000000000001E-2</v>
      </c>
      <c r="H136" s="24">
        <v>0</v>
      </c>
      <c r="I136" s="24" t="s">
        <v>60</v>
      </c>
      <c r="J136" s="22">
        <f t="shared" si="4"/>
        <v>7.8504043126684643E-5</v>
      </c>
      <c r="K136" s="22"/>
    </row>
    <row r="137" spans="1:11" x14ac:dyDescent="0.15">
      <c r="A137" s="24" t="s">
        <v>67</v>
      </c>
      <c r="B137" s="24" t="s">
        <v>923</v>
      </c>
      <c r="C137" s="24">
        <v>10.199999999999999</v>
      </c>
      <c r="D137" s="24" t="s">
        <v>374</v>
      </c>
      <c r="E137" s="24" t="s">
        <v>742</v>
      </c>
      <c r="F137" s="24">
        <v>5.5399999999999998E-3</v>
      </c>
      <c r="G137" s="24">
        <v>5.6000000000000001E-2</v>
      </c>
      <c r="H137" s="24">
        <v>0</v>
      </c>
      <c r="I137" s="24" t="s">
        <v>60</v>
      </c>
      <c r="J137" s="22">
        <f t="shared" si="4"/>
        <v>9.3328840970350403E-5</v>
      </c>
      <c r="K137" s="22"/>
    </row>
    <row r="138" spans="1:11" x14ac:dyDescent="0.15">
      <c r="A138" s="24" t="s">
        <v>67</v>
      </c>
      <c r="B138" s="24" t="s">
        <v>923</v>
      </c>
      <c r="C138" s="24">
        <v>10.199999999999999</v>
      </c>
      <c r="D138" s="24" t="s">
        <v>375</v>
      </c>
      <c r="E138" s="24" t="s">
        <v>742</v>
      </c>
      <c r="F138" s="24">
        <v>1.34E-2</v>
      </c>
      <c r="G138" s="24">
        <v>4.4999999999999998E-2</v>
      </c>
      <c r="H138" s="24">
        <v>0</v>
      </c>
      <c r="I138" s="24" t="s">
        <v>60</v>
      </c>
      <c r="J138" s="22">
        <f t="shared" si="4"/>
        <v>2.8092243186582811E-4</v>
      </c>
      <c r="K138" s="22"/>
    </row>
    <row r="139" spans="1:11" x14ac:dyDescent="0.15">
      <c r="A139" s="24" t="s">
        <v>67</v>
      </c>
      <c r="B139" s="24" t="s">
        <v>923</v>
      </c>
      <c r="C139" s="24">
        <v>10.199999999999999</v>
      </c>
      <c r="D139" s="24" t="s">
        <v>376</v>
      </c>
      <c r="E139" s="24" t="s">
        <v>742</v>
      </c>
      <c r="F139" s="24">
        <v>4.15E-3</v>
      </c>
      <c r="G139" s="24">
        <v>3.7999999999999999E-2</v>
      </c>
      <c r="H139" s="24">
        <v>20</v>
      </c>
      <c r="I139" s="24" t="s">
        <v>60</v>
      </c>
      <c r="J139" s="22">
        <f t="shared" si="4"/>
        <v>9.6815401595370403E-5</v>
      </c>
      <c r="K139" s="22"/>
    </row>
    <row r="140" spans="1:11" x14ac:dyDescent="0.15">
      <c r="A140" s="24" t="s">
        <v>67</v>
      </c>
      <c r="B140" s="24" t="s">
        <v>923</v>
      </c>
      <c r="C140" s="24">
        <v>10.199999999999999</v>
      </c>
      <c r="D140" s="24" t="s">
        <v>384</v>
      </c>
      <c r="E140" s="24" t="s">
        <v>742</v>
      </c>
      <c r="F140" s="24">
        <v>4.1599999999999996E-3</v>
      </c>
      <c r="G140" s="24">
        <v>4.4999999999999998E-2</v>
      </c>
      <c r="H140" s="24">
        <v>0</v>
      </c>
      <c r="I140" s="24" t="s">
        <v>60</v>
      </c>
      <c r="J140" s="22">
        <f t="shared" si="4"/>
        <v>8.7211740041928727E-5</v>
      </c>
      <c r="K140" s="22"/>
    </row>
    <row r="141" spans="1:11" x14ac:dyDescent="0.15">
      <c r="A141" s="24" t="s">
        <v>67</v>
      </c>
      <c r="B141" s="24" t="s">
        <v>923</v>
      </c>
      <c r="C141" s="24">
        <v>10.199999999999999</v>
      </c>
      <c r="D141" s="24" t="s">
        <v>385</v>
      </c>
      <c r="E141" s="24" t="s">
        <v>742</v>
      </c>
      <c r="F141" s="24">
        <v>1.0240000000000001E-2</v>
      </c>
      <c r="G141" s="24">
        <v>7.1999999999999995E-2</v>
      </c>
      <c r="H141" s="24">
        <v>0</v>
      </c>
      <c r="I141" s="24" t="s">
        <v>60</v>
      </c>
      <c r="J141" s="22">
        <f t="shared" si="4"/>
        <v>1.3417190775681344E-4</v>
      </c>
      <c r="K141" s="22"/>
    </row>
    <row r="142" spans="1:11" x14ac:dyDescent="0.15">
      <c r="A142" s="24" t="s">
        <v>67</v>
      </c>
      <c r="B142" s="24" t="s">
        <v>923</v>
      </c>
      <c r="C142" s="24">
        <v>10.199999999999999</v>
      </c>
      <c r="D142" s="24" t="s">
        <v>386</v>
      </c>
      <c r="E142" s="24" t="s">
        <v>742</v>
      </c>
      <c r="F142" s="24">
        <v>6.0819999999999999E-2</v>
      </c>
      <c r="G142" s="24">
        <v>0.112</v>
      </c>
      <c r="H142" s="24">
        <v>0</v>
      </c>
      <c r="I142" s="24" t="s">
        <v>60</v>
      </c>
      <c r="J142" s="22">
        <f t="shared" si="4"/>
        <v>5.1229784366576821E-4</v>
      </c>
      <c r="K142" s="22"/>
    </row>
    <row r="143" spans="1:11" x14ac:dyDescent="0.15">
      <c r="A143" s="24" t="s">
        <v>67</v>
      </c>
      <c r="B143" s="24" t="s">
        <v>923</v>
      </c>
      <c r="C143" s="24">
        <v>10.199999999999999</v>
      </c>
      <c r="D143" s="24" t="s">
        <v>389</v>
      </c>
      <c r="E143" s="24" t="s">
        <v>742</v>
      </c>
      <c r="F143" s="24">
        <v>1.074E-2</v>
      </c>
      <c r="G143" s="24">
        <v>4.2999999999999997E-2</v>
      </c>
      <c r="H143" s="24">
        <v>18</v>
      </c>
      <c r="I143" s="24" t="s">
        <v>60</v>
      </c>
      <c r="J143" s="22">
        <f t="shared" si="4"/>
        <v>2.2409712560355306E-4</v>
      </c>
      <c r="K143" s="22"/>
    </row>
    <row r="144" spans="1:11" x14ac:dyDescent="0.15">
      <c r="A144" s="24" t="s">
        <v>67</v>
      </c>
      <c r="B144" s="24" t="s">
        <v>923</v>
      </c>
      <c r="C144" s="24">
        <v>10.199999999999999</v>
      </c>
      <c r="D144" s="24" t="s">
        <v>390</v>
      </c>
      <c r="E144" s="24" t="s">
        <v>742</v>
      </c>
      <c r="F144" s="24">
        <v>2.9399999999999999E-3</v>
      </c>
      <c r="G144" s="24">
        <v>3.7999999999999999E-2</v>
      </c>
      <c r="H144" s="24">
        <v>0</v>
      </c>
      <c r="I144" s="24" t="s">
        <v>60</v>
      </c>
      <c r="J144" s="22">
        <f t="shared" si="4"/>
        <v>7.2989076464746768E-5</v>
      </c>
      <c r="K144" s="22"/>
    </row>
    <row r="145" spans="1:11" x14ac:dyDescent="0.15">
      <c r="A145" s="24" t="s">
        <v>67</v>
      </c>
      <c r="B145" s="24" t="s">
        <v>923</v>
      </c>
      <c r="C145" s="24">
        <v>10.199999999999999</v>
      </c>
      <c r="D145" s="24" t="s">
        <v>391</v>
      </c>
      <c r="E145" s="24" t="s">
        <v>742</v>
      </c>
      <c r="F145" s="24">
        <v>4.8599999999999997E-3</v>
      </c>
      <c r="G145" s="24">
        <v>2.1999999999999999E-2</v>
      </c>
      <c r="H145" s="24">
        <v>13</v>
      </c>
      <c r="I145" s="24" t="s">
        <v>60</v>
      </c>
      <c r="J145" s="22">
        <f t="shared" si="4"/>
        <v>2.0306340115163995E-4</v>
      </c>
      <c r="K145" s="22"/>
    </row>
    <row r="146" spans="1:11" x14ac:dyDescent="0.15">
      <c r="A146" s="24" t="s">
        <v>67</v>
      </c>
      <c r="B146" s="24" t="s">
        <v>923</v>
      </c>
      <c r="C146" s="24">
        <v>10.199999999999999</v>
      </c>
      <c r="D146" s="24" t="s">
        <v>393</v>
      </c>
      <c r="E146" s="24" t="s">
        <v>742</v>
      </c>
      <c r="F146" s="24">
        <v>2.0619999999999999E-2</v>
      </c>
      <c r="G146" s="24">
        <v>2.4E-2</v>
      </c>
      <c r="H146" s="24">
        <v>23</v>
      </c>
      <c r="I146" s="24" t="s">
        <v>60</v>
      </c>
      <c r="J146" s="22">
        <f t="shared" ref="J146:J160" si="5">F146*COS(RADIANS(H146))/(1060*G146)</f>
        <v>7.4610102508605811E-4</v>
      </c>
      <c r="K146" s="22"/>
    </row>
    <row r="147" spans="1:11" x14ac:dyDescent="0.15">
      <c r="A147" s="24" t="s">
        <v>67</v>
      </c>
      <c r="B147" s="24" t="s">
        <v>923</v>
      </c>
      <c r="C147" s="24">
        <v>10.199999999999999</v>
      </c>
      <c r="D147" s="24" t="s">
        <v>394</v>
      </c>
      <c r="E147" s="24" t="s">
        <v>742</v>
      </c>
      <c r="F147" s="24">
        <v>1.142E-2</v>
      </c>
      <c r="G147" s="24">
        <v>2.5999999999999999E-2</v>
      </c>
      <c r="H147" s="24">
        <v>15</v>
      </c>
      <c r="I147" s="24" t="s">
        <v>60</v>
      </c>
      <c r="J147" s="22">
        <f t="shared" si="5"/>
        <v>4.0024938084982442E-4</v>
      </c>
      <c r="K147" s="22"/>
    </row>
    <row r="148" spans="1:11" x14ac:dyDescent="0.15">
      <c r="A148" s="24" t="s">
        <v>67</v>
      </c>
      <c r="B148" s="24" t="s">
        <v>923</v>
      </c>
      <c r="C148" s="24">
        <v>10.199999999999999</v>
      </c>
      <c r="D148" s="24" t="s">
        <v>395</v>
      </c>
      <c r="E148" s="24" t="s">
        <v>742</v>
      </c>
      <c r="F148" s="24">
        <v>9.5200000000000007E-3</v>
      </c>
      <c r="G148" s="24">
        <v>3.5999999999999997E-2</v>
      </c>
      <c r="H148" s="24">
        <v>19</v>
      </c>
      <c r="I148" s="24" t="s">
        <v>60</v>
      </c>
      <c r="J148" s="22">
        <f t="shared" si="5"/>
        <v>2.3588408909081492E-4</v>
      </c>
      <c r="K148" s="22"/>
    </row>
    <row r="149" spans="1:11" x14ac:dyDescent="0.15">
      <c r="A149" s="24" t="s">
        <v>67</v>
      </c>
      <c r="B149" s="24" t="s">
        <v>923</v>
      </c>
      <c r="C149" s="24">
        <v>10.199999999999999</v>
      </c>
      <c r="D149" s="24" t="s">
        <v>396</v>
      </c>
      <c r="E149" s="24" t="s">
        <v>742</v>
      </c>
      <c r="F149" s="24">
        <v>4.3699999999999998E-3</v>
      </c>
      <c r="G149" s="24">
        <v>1.2999999999999999E-2</v>
      </c>
      <c r="H149" s="24">
        <v>25</v>
      </c>
      <c r="I149" s="24" t="s">
        <v>60</v>
      </c>
      <c r="J149" s="22">
        <f t="shared" si="5"/>
        <v>2.8741400793542532E-4</v>
      </c>
      <c r="K149" s="22"/>
    </row>
    <row r="150" spans="1:11" x14ac:dyDescent="0.15">
      <c r="A150" s="24" t="s">
        <v>67</v>
      </c>
      <c r="B150" s="24" t="s">
        <v>923</v>
      </c>
      <c r="C150" s="24">
        <v>10.199999999999999</v>
      </c>
      <c r="D150" s="24" t="s">
        <v>370</v>
      </c>
      <c r="E150" s="24" t="s">
        <v>743</v>
      </c>
      <c r="F150" s="24">
        <v>9.7999999999999997E-4</v>
      </c>
      <c r="G150" s="24">
        <v>1.2999999999999999E-2</v>
      </c>
      <c r="H150" s="24">
        <v>23</v>
      </c>
      <c r="I150" s="24" t="s">
        <v>60</v>
      </c>
      <c r="J150" s="22">
        <f t="shared" si="5"/>
        <v>6.5464060695456577E-5</v>
      </c>
      <c r="K150" s="22"/>
    </row>
    <row r="151" spans="1:11" x14ac:dyDescent="0.15">
      <c r="A151" s="24" t="s">
        <v>67</v>
      </c>
      <c r="B151" s="24" t="s">
        <v>923</v>
      </c>
      <c r="C151" s="24">
        <v>10.199999999999999</v>
      </c>
      <c r="D151" s="24" t="s">
        <v>377</v>
      </c>
      <c r="E151" s="24" t="s">
        <v>743</v>
      </c>
      <c r="F151" s="24">
        <v>3.0400000000000002E-3</v>
      </c>
      <c r="G151" s="24">
        <v>1.2E-2</v>
      </c>
      <c r="H151" s="24">
        <v>26</v>
      </c>
      <c r="I151" s="24" t="s">
        <v>60</v>
      </c>
      <c r="J151" s="22">
        <f t="shared" si="5"/>
        <v>2.1480612427275691E-4</v>
      </c>
      <c r="K151" s="22"/>
    </row>
    <row r="152" spans="1:11" x14ac:dyDescent="0.15">
      <c r="A152" s="24" t="s">
        <v>67</v>
      </c>
      <c r="B152" s="24" t="s">
        <v>923</v>
      </c>
      <c r="C152" s="24">
        <v>10.199999999999999</v>
      </c>
      <c r="D152" s="24" t="s">
        <v>378</v>
      </c>
      <c r="E152" s="24" t="s">
        <v>743</v>
      </c>
      <c r="F152" s="24">
        <v>1.57E-3</v>
      </c>
      <c r="G152" s="24">
        <v>1.7999999999999999E-2</v>
      </c>
      <c r="H152" s="24">
        <v>19</v>
      </c>
      <c r="I152" s="24" t="s">
        <v>60</v>
      </c>
      <c r="J152" s="22">
        <f t="shared" si="5"/>
        <v>7.7802105015247771E-5</v>
      </c>
      <c r="K152" s="22"/>
    </row>
    <row r="153" spans="1:11" x14ac:dyDescent="0.15">
      <c r="A153" s="24" t="s">
        <v>67</v>
      </c>
      <c r="B153" s="24" t="s">
        <v>923</v>
      </c>
      <c r="C153" s="24">
        <v>10.199999999999999</v>
      </c>
      <c r="D153" s="24" t="s">
        <v>379</v>
      </c>
      <c r="E153" s="24" t="s">
        <v>743</v>
      </c>
      <c r="F153" s="24">
        <f>0.000948*10.2/7.7</f>
        <v>1.2557922077922076E-3</v>
      </c>
      <c r="G153" s="24">
        <v>0.02</v>
      </c>
      <c r="H153" s="24">
        <v>15</v>
      </c>
      <c r="I153" s="24" t="s">
        <v>60</v>
      </c>
      <c r="J153" s="22">
        <f t="shared" si="5"/>
        <v>5.7217081413163277E-5</v>
      </c>
      <c r="K153" s="22"/>
    </row>
    <row r="154" spans="1:11" x14ac:dyDescent="0.15">
      <c r="A154" s="24" t="s">
        <v>67</v>
      </c>
      <c r="B154" s="24" t="s">
        <v>923</v>
      </c>
      <c r="C154" s="24">
        <v>10.199999999999999</v>
      </c>
      <c r="D154" s="24" t="s">
        <v>380</v>
      </c>
      <c r="E154" s="24" t="s">
        <v>743</v>
      </c>
      <c r="F154" s="24">
        <v>4.1399999999999996E-3</v>
      </c>
      <c r="G154" s="24">
        <v>8.9999999999999993E-3</v>
      </c>
      <c r="H154" s="24">
        <v>21</v>
      </c>
      <c r="I154" s="24" t="s">
        <v>60</v>
      </c>
      <c r="J154" s="22">
        <f t="shared" si="5"/>
        <v>4.0513867564972907E-4</v>
      </c>
      <c r="K154" s="22"/>
    </row>
    <row r="155" spans="1:11" x14ac:dyDescent="0.15">
      <c r="A155" s="24" t="s">
        <v>67</v>
      </c>
      <c r="B155" s="24" t="s">
        <v>923</v>
      </c>
      <c r="C155" s="24">
        <v>10.199999999999999</v>
      </c>
      <c r="D155" s="24" t="s">
        <v>381</v>
      </c>
      <c r="E155" s="24" t="s">
        <v>743</v>
      </c>
      <c r="F155" s="24">
        <v>9.5E-4</v>
      </c>
      <c r="G155" s="24">
        <v>0.05</v>
      </c>
      <c r="H155" s="24">
        <v>0</v>
      </c>
      <c r="I155" s="24" t="s">
        <v>60</v>
      </c>
      <c r="J155" s="22">
        <f t="shared" si="5"/>
        <v>1.7924528301886792E-5</v>
      </c>
      <c r="K155" s="22"/>
    </row>
    <row r="156" spans="1:11" x14ac:dyDescent="0.15">
      <c r="A156" s="24" t="s">
        <v>67</v>
      </c>
      <c r="B156" s="24" t="s">
        <v>923</v>
      </c>
      <c r="C156" s="24">
        <v>10.199999999999999</v>
      </c>
      <c r="D156" s="24" t="s">
        <v>382</v>
      </c>
      <c r="E156" s="24" t="s">
        <v>743</v>
      </c>
      <c r="F156" s="24">
        <v>2.3400000000000001E-3</v>
      </c>
      <c r="G156" s="24">
        <v>1.2E-2</v>
      </c>
      <c r="H156" s="24">
        <v>20</v>
      </c>
      <c r="I156" s="24" t="s">
        <v>60</v>
      </c>
      <c r="J156" s="22">
        <f t="shared" si="5"/>
        <v>1.7286798212570956E-4</v>
      </c>
      <c r="K156" s="22"/>
    </row>
    <row r="157" spans="1:11" x14ac:dyDescent="0.15">
      <c r="A157" s="24" t="s">
        <v>67</v>
      </c>
      <c r="B157" s="24" t="s">
        <v>923</v>
      </c>
      <c r="C157" s="24">
        <v>10.199999999999999</v>
      </c>
      <c r="D157" s="24" t="s">
        <v>383</v>
      </c>
      <c r="E157" s="24" t="s">
        <v>743</v>
      </c>
      <c r="F157" s="24">
        <v>2.8999999999999998E-3</v>
      </c>
      <c r="G157" s="24">
        <v>1.0999999999999999E-2</v>
      </c>
      <c r="H157" s="24">
        <v>41</v>
      </c>
      <c r="I157" s="24" t="s">
        <v>60</v>
      </c>
      <c r="J157" s="22">
        <f t="shared" si="5"/>
        <v>1.8770649936930006E-4</v>
      </c>
      <c r="K157" s="22"/>
    </row>
    <row r="158" spans="1:11" x14ac:dyDescent="0.15">
      <c r="A158" s="24" t="s">
        <v>67</v>
      </c>
      <c r="B158" s="24" t="s">
        <v>923</v>
      </c>
      <c r="C158" s="24">
        <v>10.199999999999999</v>
      </c>
      <c r="D158" s="24" t="s">
        <v>387</v>
      </c>
      <c r="E158" s="24" t="s">
        <v>743</v>
      </c>
      <c r="F158" s="24">
        <f>0.003472*10.2/7.7</f>
        <v>4.599272727272727E-3</v>
      </c>
      <c r="G158" s="24">
        <v>1.9E-2</v>
      </c>
      <c r="H158" s="24">
        <v>16</v>
      </c>
      <c r="I158" s="24" t="s">
        <v>60</v>
      </c>
      <c r="J158" s="22">
        <f t="shared" si="5"/>
        <v>2.1951860486102475E-4</v>
      </c>
      <c r="K158" s="22"/>
    </row>
    <row r="159" spans="1:11" x14ac:dyDescent="0.15">
      <c r="A159" s="24" t="s">
        <v>67</v>
      </c>
      <c r="B159" s="24" t="s">
        <v>923</v>
      </c>
      <c r="C159" s="24">
        <v>10.199999999999999</v>
      </c>
      <c r="D159" s="24" t="s">
        <v>388</v>
      </c>
      <c r="E159" s="24" t="s">
        <v>743</v>
      </c>
      <c r="F159" s="24">
        <v>5.6100000000000004E-3</v>
      </c>
      <c r="G159" s="24">
        <v>2.1999999999999999E-2</v>
      </c>
      <c r="H159" s="24">
        <v>18</v>
      </c>
      <c r="I159" s="24" t="s">
        <v>60</v>
      </c>
      <c r="J159" s="22">
        <f t="shared" si="5"/>
        <v>2.2879189778798504E-4</v>
      </c>
      <c r="K159" s="22"/>
    </row>
    <row r="160" spans="1:11" x14ac:dyDescent="0.15">
      <c r="A160" s="24" t="s">
        <v>67</v>
      </c>
      <c r="B160" s="24" t="s">
        <v>923</v>
      </c>
      <c r="C160" s="24">
        <v>10.199999999999999</v>
      </c>
      <c r="D160" s="24" t="s">
        <v>392</v>
      </c>
      <c r="E160" s="24" t="s">
        <v>743</v>
      </c>
      <c r="F160" s="24">
        <v>2.3999999999999998E-3</v>
      </c>
      <c r="G160" s="24">
        <v>2.9000000000000001E-2</v>
      </c>
      <c r="H160" s="24">
        <v>16</v>
      </c>
      <c r="I160" s="24" t="s">
        <v>60</v>
      </c>
      <c r="J160" s="22">
        <f t="shared" si="5"/>
        <v>7.5049709507220722E-5</v>
      </c>
      <c r="K160" s="22"/>
    </row>
    <row r="161" spans="1:11" x14ac:dyDescent="0.15">
      <c r="A161" s="30" t="s">
        <v>74</v>
      </c>
      <c r="B161" s="30" t="s">
        <v>923</v>
      </c>
      <c r="C161" s="30">
        <v>40</v>
      </c>
      <c r="D161" s="29" t="s">
        <v>419</v>
      </c>
      <c r="E161" s="29" t="s">
        <v>743</v>
      </c>
      <c r="F161" s="29">
        <v>5.3280000000000001E-2</v>
      </c>
      <c r="G161" s="29">
        <v>7.1218370000000003E-2</v>
      </c>
      <c r="H161" s="29">
        <v>0</v>
      </c>
      <c r="I161" s="29" t="s">
        <v>401</v>
      </c>
      <c r="J161" s="22">
        <f t="shared" ref="J161:J169" si="6">F161*COS(RADIANS(H161))/(1060*G161)</f>
        <v>7.0577508223505011E-4</v>
      </c>
      <c r="K161" s="22"/>
    </row>
    <row r="162" spans="1:11" x14ac:dyDescent="0.15">
      <c r="A162" s="30" t="s">
        <v>74</v>
      </c>
      <c r="B162" s="30" t="s">
        <v>923</v>
      </c>
      <c r="C162" s="30">
        <v>40</v>
      </c>
      <c r="D162" s="30" t="s">
        <v>420</v>
      </c>
      <c r="E162" s="29" t="s">
        <v>743</v>
      </c>
      <c r="F162" s="30">
        <v>4.3119999999999999E-2</v>
      </c>
      <c r="G162" s="30">
        <v>9.277175E-2</v>
      </c>
      <c r="H162" s="30">
        <v>0</v>
      </c>
      <c r="I162" s="29" t="s">
        <v>401</v>
      </c>
      <c r="J162" s="22">
        <f t="shared" si="6"/>
        <v>4.3848741974813311E-4</v>
      </c>
      <c r="K162" s="22"/>
    </row>
    <row r="163" spans="1:11" x14ac:dyDescent="0.15">
      <c r="A163" s="30" t="s">
        <v>74</v>
      </c>
      <c r="B163" s="30" t="s">
        <v>923</v>
      </c>
      <c r="C163" s="30">
        <v>40</v>
      </c>
      <c r="D163" s="30" t="s">
        <v>421</v>
      </c>
      <c r="E163" s="29" t="s">
        <v>743</v>
      </c>
      <c r="F163" s="30">
        <v>4.4200000000000003E-2</v>
      </c>
      <c r="G163" s="30">
        <v>6.6777900000000001E-2</v>
      </c>
      <c r="H163" s="30">
        <v>0</v>
      </c>
      <c r="I163" s="29" t="s">
        <v>401</v>
      </c>
      <c r="J163" s="22">
        <f t="shared" si="6"/>
        <v>6.2442983693028931E-4</v>
      </c>
      <c r="K163" s="22"/>
    </row>
    <row r="164" spans="1:11" x14ac:dyDescent="0.15">
      <c r="A164" s="30" t="s">
        <v>74</v>
      </c>
      <c r="B164" s="30" t="s">
        <v>923</v>
      </c>
      <c r="C164" s="30">
        <v>40</v>
      </c>
      <c r="D164" s="30" t="s">
        <v>422</v>
      </c>
      <c r="E164" s="29" t="s">
        <v>743</v>
      </c>
      <c r="F164" s="30">
        <v>6.6640000000000005E-2</v>
      </c>
      <c r="G164" s="30">
        <v>7.8391439999999993E-2</v>
      </c>
      <c r="H164" s="30">
        <v>0</v>
      </c>
      <c r="I164" s="29" t="s">
        <v>401</v>
      </c>
      <c r="J164" s="22">
        <f t="shared" si="6"/>
        <v>8.0197435495893302E-4</v>
      </c>
      <c r="K164" s="22"/>
    </row>
    <row r="165" spans="1:11" x14ac:dyDescent="0.15">
      <c r="A165" s="30" t="s">
        <v>74</v>
      </c>
      <c r="B165" s="30" t="s">
        <v>923</v>
      </c>
      <c r="C165" s="30">
        <v>40</v>
      </c>
      <c r="D165" s="30" t="s">
        <v>423</v>
      </c>
      <c r="E165" s="29" t="s">
        <v>743</v>
      </c>
      <c r="F165" s="30">
        <v>5.364E-2</v>
      </c>
      <c r="G165" s="30">
        <v>0.10926982</v>
      </c>
      <c r="H165" s="30">
        <v>0</v>
      </c>
      <c r="I165" s="29" t="s">
        <v>401</v>
      </c>
      <c r="J165" s="22">
        <f t="shared" si="6"/>
        <v>4.6310841900266389E-4</v>
      </c>
      <c r="K165" s="22"/>
    </row>
    <row r="166" spans="1:11" x14ac:dyDescent="0.15">
      <c r="A166" s="30" t="s">
        <v>74</v>
      </c>
      <c r="B166" s="30" t="s">
        <v>923</v>
      </c>
      <c r="C166" s="30">
        <v>40</v>
      </c>
      <c r="D166" s="30" t="s">
        <v>424</v>
      </c>
      <c r="E166" s="29" t="s">
        <v>743</v>
      </c>
      <c r="F166" s="30">
        <v>1.6279999999999999E-2</v>
      </c>
      <c r="G166" s="30">
        <v>9.7895369999999995E-2</v>
      </c>
      <c r="H166" s="30">
        <v>0</v>
      </c>
      <c r="I166" s="29" t="s">
        <v>401</v>
      </c>
      <c r="J166" s="22">
        <f t="shared" si="6"/>
        <v>1.5688679215409001E-4</v>
      </c>
      <c r="K166" s="22"/>
    </row>
    <row r="167" spans="1:11" x14ac:dyDescent="0.15">
      <c r="A167" s="30" t="s">
        <v>74</v>
      </c>
      <c r="B167" s="30" t="s">
        <v>923</v>
      </c>
      <c r="C167" s="30">
        <v>40</v>
      </c>
      <c r="D167" s="30" t="s">
        <v>425</v>
      </c>
      <c r="E167" s="29" t="s">
        <v>743</v>
      </c>
      <c r="F167" s="30">
        <v>2.5080000000000002E-2</v>
      </c>
      <c r="G167" s="30">
        <v>0.12446989999999999</v>
      </c>
      <c r="H167" s="30">
        <v>0</v>
      </c>
      <c r="I167" s="29" t="s">
        <v>401</v>
      </c>
      <c r="J167" s="22">
        <f t="shared" si="6"/>
        <v>1.9008914893070989E-4</v>
      </c>
      <c r="K167" s="22"/>
    </row>
    <row r="168" spans="1:11" x14ac:dyDescent="0.15">
      <c r="A168" s="43" t="s">
        <v>75</v>
      </c>
      <c r="B168" s="43" t="s">
        <v>923</v>
      </c>
      <c r="C168" s="43">
        <v>4.1500000000000004</v>
      </c>
      <c r="D168" s="43" t="s">
        <v>402</v>
      </c>
      <c r="E168" s="43" t="s">
        <v>742</v>
      </c>
      <c r="F168" s="43">
        <v>1.8010999999999999E-2</v>
      </c>
      <c r="G168" s="43">
        <v>7.5268333000000007E-2</v>
      </c>
      <c r="H168" s="43">
        <v>0</v>
      </c>
      <c r="I168" s="43" t="s">
        <v>401</v>
      </c>
      <c r="J168" s="22">
        <f t="shared" si="6"/>
        <v>2.2574579184532042E-4</v>
      </c>
      <c r="K168" s="22" t="s">
        <v>400</v>
      </c>
    </row>
    <row r="169" spans="1:11" x14ac:dyDescent="0.15">
      <c r="A169" s="43" t="s">
        <v>75</v>
      </c>
      <c r="B169" s="43" t="s">
        <v>923</v>
      </c>
      <c r="C169" s="43">
        <v>4.1500000000000004</v>
      </c>
      <c r="D169" s="43" t="s">
        <v>403</v>
      </c>
      <c r="E169" s="43" t="s">
        <v>742</v>
      </c>
      <c r="F169" s="43">
        <v>2.1497E-3</v>
      </c>
      <c r="G169" s="43">
        <v>4.1987073E-2</v>
      </c>
      <c r="H169" s="43">
        <v>0</v>
      </c>
      <c r="I169" s="43" t="s">
        <v>401</v>
      </c>
      <c r="J169" s="22">
        <f t="shared" si="6"/>
        <v>4.83010298889977E-5</v>
      </c>
      <c r="K169" s="22"/>
    </row>
    <row r="170" spans="1:11" x14ac:dyDescent="0.15">
      <c r="A170" s="43" t="s">
        <v>75</v>
      </c>
      <c r="B170" s="43" t="s">
        <v>923</v>
      </c>
      <c r="C170" s="43">
        <v>4.1500000000000004</v>
      </c>
      <c r="D170" s="43" t="s">
        <v>404</v>
      </c>
      <c r="E170" s="43" t="s">
        <v>742</v>
      </c>
      <c r="F170" s="43">
        <v>1.9820399999999998E-2</v>
      </c>
      <c r="G170" s="43">
        <v>4.6677288999999997E-2</v>
      </c>
      <c r="H170" s="43">
        <v>0</v>
      </c>
      <c r="I170" s="43" t="s">
        <v>401</v>
      </c>
      <c r="J170" s="22">
        <f t="shared" ref="J170:J191" si="7">F170*COS(RADIANS(H170))/(1060*G170)</f>
        <v>4.0059075766027749E-4</v>
      </c>
      <c r="K170" s="22"/>
    </row>
    <row r="171" spans="1:11" x14ac:dyDescent="0.15">
      <c r="A171" s="43" t="s">
        <v>75</v>
      </c>
      <c r="B171" s="43" t="s">
        <v>923</v>
      </c>
      <c r="C171" s="43">
        <v>4.1500000000000004</v>
      </c>
      <c r="D171" s="43" t="s">
        <v>405</v>
      </c>
      <c r="E171" s="43" t="s">
        <v>742</v>
      </c>
      <c r="F171" s="43">
        <v>1.657925E-2</v>
      </c>
      <c r="G171" s="43">
        <v>6.8249070999999994E-2</v>
      </c>
      <c r="H171" s="43">
        <v>0</v>
      </c>
      <c r="I171" s="43" t="s">
        <v>401</v>
      </c>
      <c r="J171" s="22">
        <f t="shared" si="7"/>
        <v>2.2917237784514979E-4</v>
      </c>
      <c r="K171" s="22"/>
    </row>
    <row r="172" spans="1:11" x14ac:dyDescent="0.15">
      <c r="A172" s="43" t="s">
        <v>75</v>
      </c>
      <c r="B172" s="43" t="s">
        <v>923</v>
      </c>
      <c r="C172" s="43">
        <v>4.1500000000000004</v>
      </c>
      <c r="D172" s="43" t="s">
        <v>406</v>
      </c>
      <c r="E172" s="43" t="s">
        <v>742</v>
      </c>
      <c r="F172" s="43">
        <v>4.3492000000000001E-3</v>
      </c>
      <c r="G172" s="43">
        <v>4.0332646999999999E-2</v>
      </c>
      <c r="H172" s="43">
        <v>0</v>
      </c>
      <c r="I172" s="43" t="s">
        <v>401</v>
      </c>
      <c r="J172" s="22">
        <f t="shared" si="7"/>
        <v>1.0172947160955066E-4</v>
      </c>
      <c r="K172" s="22"/>
    </row>
    <row r="173" spans="1:11" x14ac:dyDescent="0.15">
      <c r="A173" s="43" t="s">
        <v>75</v>
      </c>
      <c r="B173" s="43" t="s">
        <v>923</v>
      </c>
      <c r="C173" s="43">
        <v>4.1500000000000004</v>
      </c>
      <c r="D173" s="43" t="s">
        <v>407</v>
      </c>
      <c r="E173" s="43" t="s">
        <v>742</v>
      </c>
      <c r="F173" s="43">
        <v>1.8218500000000001E-3</v>
      </c>
      <c r="G173" s="43">
        <v>5.6892966000000003E-2</v>
      </c>
      <c r="H173" s="43">
        <v>8.67</v>
      </c>
      <c r="I173" s="43" t="s">
        <v>401</v>
      </c>
      <c r="J173" s="22">
        <f t="shared" si="7"/>
        <v>2.9864613573158611E-5</v>
      </c>
      <c r="K173" s="22"/>
    </row>
    <row r="174" spans="1:11" x14ac:dyDescent="0.15">
      <c r="A174" s="43" t="s">
        <v>75</v>
      </c>
      <c r="B174" s="43" t="s">
        <v>923</v>
      </c>
      <c r="C174" s="43">
        <v>4.1500000000000004</v>
      </c>
      <c r="D174" s="43" t="s">
        <v>408</v>
      </c>
      <c r="E174" s="43" t="s">
        <v>742</v>
      </c>
      <c r="F174" s="43">
        <v>5.2580500000000002E-3</v>
      </c>
      <c r="G174" s="43">
        <v>3.3425822000000001E-2</v>
      </c>
      <c r="H174" s="43">
        <v>0</v>
      </c>
      <c r="I174" s="43" t="s">
        <v>401</v>
      </c>
      <c r="J174" s="22">
        <f t="shared" si="7"/>
        <v>1.4840097360363752E-4</v>
      </c>
      <c r="K174" s="22"/>
    </row>
    <row r="175" spans="1:11" x14ac:dyDescent="0.15">
      <c r="A175" s="43" t="s">
        <v>75</v>
      </c>
      <c r="B175" s="43" t="s">
        <v>923</v>
      </c>
      <c r="C175" s="43">
        <v>4.1500000000000004</v>
      </c>
      <c r="D175" s="43" t="s">
        <v>409</v>
      </c>
      <c r="E175" s="43" t="s">
        <v>742</v>
      </c>
      <c r="F175" s="43">
        <v>3.7682000000000002E-3</v>
      </c>
      <c r="G175" s="43">
        <v>2.5201880999999999E-2</v>
      </c>
      <c r="H175" s="43">
        <v>0</v>
      </c>
      <c r="I175" s="43" t="s">
        <v>401</v>
      </c>
      <c r="J175" s="22">
        <f t="shared" si="7"/>
        <v>1.4105715602646322E-4</v>
      </c>
      <c r="K175" s="22"/>
    </row>
    <row r="176" spans="1:11" x14ac:dyDescent="0.15">
      <c r="A176" s="43" t="s">
        <v>75</v>
      </c>
      <c r="B176" s="43" t="s">
        <v>923</v>
      </c>
      <c r="C176" s="43">
        <v>4.1500000000000004</v>
      </c>
      <c r="D176" s="43" t="s">
        <v>410</v>
      </c>
      <c r="E176" s="43" t="s">
        <v>742</v>
      </c>
      <c r="F176" s="43">
        <v>3.7101E-3</v>
      </c>
      <c r="G176" s="43">
        <v>3.9144031000000003E-2</v>
      </c>
      <c r="H176" s="43">
        <v>0</v>
      </c>
      <c r="I176" s="43" t="s">
        <v>401</v>
      </c>
      <c r="J176" s="22">
        <f t="shared" si="7"/>
        <v>8.9415787035899313E-5</v>
      </c>
      <c r="K176" s="22"/>
    </row>
    <row r="177" spans="1:11" x14ac:dyDescent="0.15">
      <c r="A177" s="43" t="s">
        <v>75</v>
      </c>
      <c r="B177" s="43" t="s">
        <v>923</v>
      </c>
      <c r="C177" s="43">
        <v>4.1500000000000004</v>
      </c>
      <c r="D177" s="43" t="s">
        <v>411</v>
      </c>
      <c r="E177" s="43" t="s">
        <v>742</v>
      </c>
      <c r="F177" s="43">
        <v>6.1088000000000002E-3</v>
      </c>
      <c r="G177" s="43">
        <v>3.5240871E-2</v>
      </c>
      <c r="H177" s="43">
        <v>0</v>
      </c>
      <c r="I177" s="43" t="s">
        <v>401</v>
      </c>
      <c r="J177" s="22">
        <f t="shared" si="7"/>
        <v>1.6353224833530729E-4</v>
      </c>
      <c r="K177" s="22"/>
    </row>
    <row r="178" spans="1:11" x14ac:dyDescent="0.15">
      <c r="A178" s="43" t="s">
        <v>75</v>
      </c>
      <c r="B178" s="43" t="s">
        <v>923</v>
      </c>
      <c r="C178" s="43">
        <v>4.1500000000000004</v>
      </c>
      <c r="D178" s="43" t="s">
        <v>412</v>
      </c>
      <c r="E178" s="43" t="s">
        <v>742</v>
      </c>
      <c r="F178" s="43">
        <v>2.8219999999999999E-3</v>
      </c>
      <c r="G178" s="43">
        <v>5.9318386000000001E-2</v>
      </c>
      <c r="H178" s="43">
        <v>10</v>
      </c>
      <c r="I178" s="43" t="s">
        <v>401</v>
      </c>
      <c r="J178" s="22">
        <f t="shared" si="7"/>
        <v>4.4199084857358046E-5</v>
      </c>
      <c r="K178" s="22"/>
    </row>
    <row r="179" spans="1:11" x14ac:dyDescent="0.15">
      <c r="A179" s="43" t="s">
        <v>75</v>
      </c>
      <c r="B179" s="43" t="s">
        <v>923</v>
      </c>
      <c r="C179" s="43">
        <v>4.1500000000000004</v>
      </c>
      <c r="D179" s="43" t="s">
        <v>413</v>
      </c>
      <c r="E179" s="43" t="s">
        <v>742</v>
      </c>
      <c r="F179" s="43">
        <v>6.27065E-3</v>
      </c>
      <c r="G179" s="43">
        <v>5.0628635999999998E-2</v>
      </c>
      <c r="H179" s="43">
        <v>4.67</v>
      </c>
      <c r="I179" s="43" t="s">
        <v>401</v>
      </c>
      <c r="J179" s="22">
        <f t="shared" si="7"/>
        <v>1.1645718252847472E-4</v>
      </c>
      <c r="K179" s="22"/>
    </row>
    <row r="180" spans="1:11" x14ac:dyDescent="0.15">
      <c r="A180" s="43" t="s">
        <v>75</v>
      </c>
      <c r="B180" s="43" t="s">
        <v>923</v>
      </c>
      <c r="C180" s="43">
        <v>4.1500000000000004</v>
      </c>
      <c r="D180" s="43" t="s">
        <v>414</v>
      </c>
      <c r="E180" s="43" t="s">
        <v>742</v>
      </c>
      <c r="F180" s="43">
        <v>1.4483499999999999E-3</v>
      </c>
      <c r="G180" s="43">
        <v>3.7537792E-2</v>
      </c>
      <c r="H180" s="43">
        <v>32.33</v>
      </c>
      <c r="I180" s="43" t="s">
        <v>401</v>
      </c>
      <c r="J180" s="22">
        <f t="shared" si="7"/>
        <v>3.0757168868773169E-5</v>
      </c>
      <c r="K180" s="22"/>
    </row>
    <row r="181" spans="1:11" x14ac:dyDescent="0.15">
      <c r="A181" s="43" t="s">
        <v>75</v>
      </c>
      <c r="B181" s="43" t="s">
        <v>923</v>
      </c>
      <c r="C181" s="43">
        <v>4.1500000000000004</v>
      </c>
      <c r="D181" s="43" t="s">
        <v>415</v>
      </c>
      <c r="E181" s="43" t="s">
        <v>742</v>
      </c>
      <c r="F181" s="43">
        <v>6.1295500000000001E-3</v>
      </c>
      <c r="G181" s="43">
        <v>4.3304188E-2</v>
      </c>
      <c r="H181" s="43">
        <v>21.67</v>
      </c>
      <c r="I181" s="43" t="s">
        <v>401</v>
      </c>
      <c r="J181" s="22">
        <f t="shared" si="7"/>
        <v>1.2409690066370158E-4</v>
      </c>
      <c r="K181" s="22"/>
    </row>
    <row r="182" spans="1:11" x14ac:dyDescent="0.15">
      <c r="A182" s="43" t="s">
        <v>75</v>
      </c>
      <c r="B182" s="43" t="s">
        <v>923</v>
      </c>
      <c r="C182" s="43">
        <v>4.1500000000000004</v>
      </c>
      <c r="D182" s="43" t="s">
        <v>416</v>
      </c>
      <c r="E182" s="43" t="s">
        <v>742</v>
      </c>
      <c r="F182" s="43">
        <v>4.4819999999999999E-3</v>
      </c>
      <c r="G182" s="43">
        <v>2.3531393000000001E-2</v>
      </c>
      <c r="H182" s="43">
        <v>0</v>
      </c>
      <c r="I182" s="43" t="s">
        <v>401</v>
      </c>
      <c r="J182" s="22">
        <f t="shared" si="7"/>
        <v>1.7968770003511702E-4</v>
      </c>
      <c r="K182" s="22"/>
    </row>
    <row r="183" spans="1:11" x14ac:dyDescent="0.15">
      <c r="A183" s="43" t="s">
        <v>75</v>
      </c>
      <c r="B183" s="43" t="s">
        <v>923</v>
      </c>
      <c r="C183" s="43">
        <v>4.1500000000000004</v>
      </c>
      <c r="D183" s="43" t="s">
        <v>417</v>
      </c>
      <c r="E183" s="43" t="s">
        <v>742</v>
      </c>
      <c r="F183" s="43">
        <v>6.66075E-3</v>
      </c>
      <c r="G183" s="43">
        <v>3.7152295000000002E-2</v>
      </c>
      <c r="H183" s="43">
        <v>0</v>
      </c>
      <c r="I183" s="43" t="s">
        <v>401</v>
      </c>
      <c r="J183" s="22">
        <f t="shared" si="7"/>
        <v>1.6913427326883411E-4</v>
      </c>
      <c r="K183" s="22"/>
    </row>
    <row r="184" spans="1:11" x14ac:dyDescent="0.15">
      <c r="A184" s="43" t="s">
        <v>75</v>
      </c>
      <c r="B184" s="43" t="s">
        <v>923</v>
      </c>
      <c r="C184" s="43">
        <v>4.1500000000000004</v>
      </c>
      <c r="D184" s="43" t="s">
        <v>418</v>
      </c>
      <c r="E184" s="43" t="s">
        <v>742</v>
      </c>
      <c r="F184" s="43">
        <v>3.1581500000000002E-3</v>
      </c>
      <c r="G184" s="43">
        <v>2.4896695999999999E-2</v>
      </c>
      <c r="H184" s="43">
        <v>0</v>
      </c>
      <c r="I184" s="43" t="s">
        <v>401</v>
      </c>
      <c r="J184" s="22">
        <f t="shared" si="7"/>
        <v>1.1966996714956999E-4</v>
      </c>
      <c r="K184" s="22"/>
    </row>
    <row r="185" spans="1:11" x14ac:dyDescent="0.15">
      <c r="A185" s="43" t="s">
        <v>75</v>
      </c>
      <c r="B185" s="43" t="s">
        <v>923</v>
      </c>
      <c r="C185" s="43">
        <v>4.1500000000000004</v>
      </c>
      <c r="D185" s="43" t="s">
        <v>419</v>
      </c>
      <c r="E185" s="43" t="s">
        <v>743</v>
      </c>
      <c r="F185" s="43">
        <v>5.7602E-3</v>
      </c>
      <c r="G185" s="43">
        <v>3.4726874999999997E-2</v>
      </c>
      <c r="H185" s="43">
        <v>0</v>
      </c>
      <c r="I185" s="43" t="s">
        <v>401</v>
      </c>
      <c r="J185" s="22">
        <f t="shared" si="7"/>
        <v>1.5648257850429175E-4</v>
      </c>
      <c r="K185" s="22"/>
    </row>
    <row r="186" spans="1:11" x14ac:dyDescent="0.15">
      <c r="A186" s="43" t="s">
        <v>75</v>
      </c>
      <c r="B186" s="43" t="s">
        <v>923</v>
      </c>
      <c r="C186" s="43">
        <v>4.1500000000000004</v>
      </c>
      <c r="D186" s="43" t="s">
        <v>420</v>
      </c>
      <c r="E186" s="43" t="s">
        <v>743</v>
      </c>
      <c r="F186" s="43">
        <v>3.2702E-3</v>
      </c>
      <c r="G186" s="43">
        <v>3.9818650999999997E-2</v>
      </c>
      <c r="H186" s="43">
        <v>0</v>
      </c>
      <c r="I186" s="43" t="s">
        <v>401</v>
      </c>
      <c r="J186" s="22">
        <f t="shared" si="7"/>
        <v>7.747862527092246E-5</v>
      </c>
      <c r="K186" s="22"/>
    </row>
    <row r="187" spans="1:11" x14ac:dyDescent="0.15">
      <c r="A187" s="43" t="s">
        <v>75</v>
      </c>
      <c r="B187" s="43" t="s">
        <v>923</v>
      </c>
      <c r="C187" s="43">
        <v>4.1500000000000004</v>
      </c>
      <c r="D187" s="43" t="s">
        <v>421</v>
      </c>
      <c r="E187" s="43" t="s">
        <v>743</v>
      </c>
      <c r="F187" s="43">
        <v>1.9588000000000001E-3</v>
      </c>
      <c r="G187" s="43">
        <v>4.4396431E-2</v>
      </c>
      <c r="H187" s="43">
        <v>0</v>
      </c>
      <c r="I187" s="43" t="s">
        <v>401</v>
      </c>
      <c r="J187" s="22">
        <f t="shared" si="7"/>
        <v>4.1623267606846301E-5</v>
      </c>
      <c r="K187" s="22"/>
    </row>
    <row r="188" spans="1:11" x14ac:dyDescent="0.15">
      <c r="A188" s="43" t="s">
        <v>75</v>
      </c>
      <c r="B188" s="43" t="s">
        <v>923</v>
      </c>
      <c r="C188" s="43">
        <v>4.1500000000000004</v>
      </c>
      <c r="D188" s="43" t="s">
        <v>422</v>
      </c>
      <c r="E188" s="43" t="s">
        <v>743</v>
      </c>
      <c r="F188" s="43">
        <v>4.3118499999999999E-3</v>
      </c>
      <c r="G188" s="43">
        <v>5.1817252000000001E-2</v>
      </c>
      <c r="H188" s="43">
        <v>0</v>
      </c>
      <c r="I188" s="43" t="s">
        <v>401</v>
      </c>
      <c r="J188" s="22">
        <f t="shared" si="7"/>
        <v>7.8502484440277242E-5</v>
      </c>
      <c r="K188" s="22"/>
    </row>
    <row r="189" spans="1:11" x14ac:dyDescent="0.15">
      <c r="A189" s="43" t="s">
        <v>75</v>
      </c>
      <c r="B189" s="43" t="s">
        <v>923</v>
      </c>
      <c r="C189" s="43">
        <v>4.1500000000000004</v>
      </c>
      <c r="D189" s="43" t="s">
        <v>423</v>
      </c>
      <c r="E189" s="43" t="s">
        <v>743</v>
      </c>
      <c r="F189" s="43">
        <v>5.4199000000000001E-3</v>
      </c>
      <c r="G189" s="43">
        <v>6.3012734000000001E-2</v>
      </c>
      <c r="H189" s="43">
        <v>0</v>
      </c>
      <c r="I189" s="43" t="s">
        <v>401</v>
      </c>
      <c r="J189" s="22">
        <f t="shared" si="7"/>
        <v>8.1144125686518696E-5</v>
      </c>
      <c r="K189" s="22"/>
    </row>
    <row r="190" spans="1:11" x14ac:dyDescent="0.15">
      <c r="A190" s="43" t="s">
        <v>75</v>
      </c>
      <c r="B190" s="43" t="s">
        <v>923</v>
      </c>
      <c r="C190" s="43">
        <v>4.1500000000000004</v>
      </c>
      <c r="D190" s="43" t="s">
        <v>424</v>
      </c>
      <c r="E190" s="43" t="s">
        <v>743</v>
      </c>
      <c r="F190" s="43">
        <v>3.5814499999999999E-3</v>
      </c>
      <c r="G190" s="43">
        <v>4.2645631000000003E-2</v>
      </c>
      <c r="H190" s="43">
        <v>0</v>
      </c>
      <c r="I190" s="43" t="s">
        <v>401</v>
      </c>
      <c r="J190" s="22">
        <f t="shared" si="7"/>
        <v>7.9227961595745635E-5</v>
      </c>
      <c r="K190" s="22"/>
    </row>
    <row r="191" spans="1:11" x14ac:dyDescent="0.15">
      <c r="A191" s="43" t="s">
        <v>75</v>
      </c>
      <c r="B191" s="43" t="s">
        <v>923</v>
      </c>
      <c r="C191" s="43">
        <v>4.1500000000000004</v>
      </c>
      <c r="D191" s="43" t="s">
        <v>425</v>
      </c>
      <c r="E191" s="43" t="s">
        <v>743</v>
      </c>
      <c r="F191" s="43">
        <v>5.1916499999999999E-3</v>
      </c>
      <c r="G191" s="43">
        <v>5.1287194000000001E-2</v>
      </c>
      <c r="H191" s="43">
        <v>0</v>
      </c>
      <c r="I191" s="43" t="s">
        <v>401</v>
      </c>
      <c r="J191" s="22">
        <f t="shared" si="7"/>
        <v>9.5497192123006859E-5</v>
      </c>
      <c r="K191" s="22"/>
    </row>
    <row r="192" spans="1:11" x14ac:dyDescent="0.15">
      <c r="A192" s="44" t="s">
        <v>902</v>
      </c>
      <c r="B192" s="44" t="s">
        <v>923</v>
      </c>
      <c r="C192" s="60">
        <v>2.0979999999999999</v>
      </c>
      <c r="D192" s="57" t="s">
        <v>402</v>
      </c>
      <c r="E192" s="57" t="s">
        <v>742</v>
      </c>
      <c r="F192" s="58">
        <v>7.3870580000000002E-3</v>
      </c>
      <c r="G192" s="58">
        <v>7.0430494711616623E-2</v>
      </c>
      <c r="H192" s="59">
        <v>0</v>
      </c>
      <c r="I192" s="32" t="s">
        <v>401</v>
      </c>
      <c r="J192" s="22">
        <f t="shared" ref="J192:J213" si="8">F192*COS(RADIANS(H192))/(1060*G192)</f>
        <v>9.8947517975619143E-5</v>
      </c>
      <c r="K192" s="22" t="s">
        <v>916</v>
      </c>
    </row>
    <row r="193" spans="1:11" x14ac:dyDescent="0.15">
      <c r="A193" s="44" t="s">
        <v>902</v>
      </c>
      <c r="B193" s="44" t="s">
        <v>923</v>
      </c>
      <c r="C193" s="60">
        <v>2.0979999999999999</v>
      </c>
      <c r="D193" s="57" t="s">
        <v>403</v>
      </c>
      <c r="E193" s="57" t="s">
        <v>742</v>
      </c>
      <c r="F193" s="58">
        <v>2.047648E-3</v>
      </c>
      <c r="G193" s="58">
        <v>3.2802718143898485E-2</v>
      </c>
      <c r="H193" s="59">
        <v>0</v>
      </c>
      <c r="I193" s="32" t="s">
        <v>401</v>
      </c>
      <c r="J193" s="22">
        <f t="shared" si="8"/>
        <v>5.8889735532045581E-5</v>
      </c>
      <c r="K193" s="22"/>
    </row>
    <row r="194" spans="1:11" x14ac:dyDescent="0.15">
      <c r="A194" s="44" t="s">
        <v>902</v>
      </c>
      <c r="B194" s="44" t="s">
        <v>923</v>
      </c>
      <c r="C194" s="60">
        <v>2.0979999999999999</v>
      </c>
      <c r="D194" s="57" t="s">
        <v>404</v>
      </c>
      <c r="E194" s="57" t="s">
        <v>742</v>
      </c>
      <c r="F194" s="58">
        <v>6.7240899999999994E-3</v>
      </c>
      <c r="G194" s="58">
        <v>3.3634624768694971E-2</v>
      </c>
      <c r="H194" s="59">
        <v>0</v>
      </c>
      <c r="I194" s="32" t="s">
        <v>401</v>
      </c>
      <c r="J194" s="22">
        <f t="shared" si="8"/>
        <v>1.8859972946627286E-4</v>
      </c>
      <c r="K194" s="22"/>
    </row>
    <row r="195" spans="1:11" x14ac:dyDescent="0.15">
      <c r="A195" s="44" t="s">
        <v>902</v>
      </c>
      <c r="B195" s="44" t="s">
        <v>923</v>
      </c>
      <c r="C195" s="60">
        <v>2.0979999999999999</v>
      </c>
      <c r="D195" s="57" t="s">
        <v>405</v>
      </c>
      <c r="E195" s="57" t="s">
        <v>742</v>
      </c>
      <c r="F195" s="58">
        <v>7.567486E-3</v>
      </c>
      <c r="G195" s="58">
        <v>8.4867274292700301E-2</v>
      </c>
      <c r="H195" s="59">
        <v>0</v>
      </c>
      <c r="I195" s="32" t="s">
        <v>401</v>
      </c>
      <c r="J195" s="22">
        <f t="shared" si="8"/>
        <v>8.4121209209886411E-5</v>
      </c>
      <c r="K195" s="22"/>
    </row>
    <row r="196" spans="1:11" x14ac:dyDescent="0.15">
      <c r="A196" s="44" t="s">
        <v>902</v>
      </c>
      <c r="B196" s="44" t="s">
        <v>923</v>
      </c>
      <c r="C196" s="60">
        <v>2.0979999999999999</v>
      </c>
      <c r="D196" s="57" t="s">
        <v>406</v>
      </c>
      <c r="E196" s="57" t="s">
        <v>742</v>
      </c>
      <c r="F196" s="58">
        <v>2.4064059999999998E-3</v>
      </c>
      <c r="G196" s="58">
        <v>5.1143059579796479E-2</v>
      </c>
      <c r="H196" s="59">
        <v>0</v>
      </c>
      <c r="I196" s="32" t="s">
        <v>401</v>
      </c>
      <c r="J196" s="22">
        <f t="shared" si="8"/>
        <v>4.4389099093309965E-5</v>
      </c>
      <c r="K196" s="22"/>
    </row>
    <row r="197" spans="1:11" x14ac:dyDescent="0.15">
      <c r="A197" s="44" t="s">
        <v>902</v>
      </c>
      <c r="B197" s="44" t="s">
        <v>923</v>
      </c>
      <c r="C197" s="60">
        <v>2.0979999999999999</v>
      </c>
      <c r="D197" s="57" t="s">
        <v>407</v>
      </c>
      <c r="E197" s="57" t="s">
        <v>742</v>
      </c>
      <c r="F197" s="58">
        <v>2.7106160000000003E-3</v>
      </c>
      <c r="G197" s="58">
        <v>3.0946926442429398E-2</v>
      </c>
      <c r="H197" s="59">
        <v>0</v>
      </c>
      <c r="I197" s="32" t="s">
        <v>401</v>
      </c>
      <c r="J197" s="22">
        <f t="shared" si="8"/>
        <v>8.2631304611703891E-5</v>
      </c>
      <c r="K197" s="22"/>
    </row>
    <row r="198" spans="1:11" x14ac:dyDescent="0.15">
      <c r="A198" s="44" t="s">
        <v>902</v>
      </c>
      <c r="B198" s="44" t="s">
        <v>923</v>
      </c>
      <c r="C198" s="60">
        <v>2.0979999999999999</v>
      </c>
      <c r="D198" s="57" t="s">
        <v>410</v>
      </c>
      <c r="E198" s="57" t="s">
        <v>742</v>
      </c>
      <c r="F198" s="58">
        <v>4.8044199999999998E-4</v>
      </c>
      <c r="G198" s="58">
        <v>2.7939264029703627E-2</v>
      </c>
      <c r="H198" s="59">
        <v>0</v>
      </c>
      <c r="I198" s="32" t="s">
        <v>401</v>
      </c>
      <c r="J198" s="22">
        <f t="shared" si="8"/>
        <v>1.6222588015541533E-5</v>
      </c>
      <c r="K198" s="22"/>
    </row>
    <row r="199" spans="1:11" x14ac:dyDescent="0.15">
      <c r="A199" s="44" t="s">
        <v>902</v>
      </c>
      <c r="B199" s="44" t="s">
        <v>923</v>
      </c>
      <c r="C199" s="60">
        <v>2.0979999999999999</v>
      </c>
      <c r="D199" s="57" t="s">
        <v>411</v>
      </c>
      <c r="E199" s="57" t="s">
        <v>742</v>
      </c>
      <c r="F199" s="58">
        <v>1.8525339999999999E-3</v>
      </c>
      <c r="G199" s="58">
        <v>3.154845892497455E-2</v>
      </c>
      <c r="H199" s="59">
        <v>0</v>
      </c>
      <c r="I199" s="32" t="s">
        <v>401</v>
      </c>
      <c r="J199" s="22">
        <f t="shared" si="8"/>
        <v>5.5396480349858173E-5</v>
      </c>
      <c r="K199" s="22"/>
    </row>
    <row r="200" spans="1:11" x14ac:dyDescent="0.15">
      <c r="A200" s="44" t="s">
        <v>902</v>
      </c>
      <c r="B200" s="44" t="s">
        <v>923</v>
      </c>
      <c r="C200" s="60">
        <v>2.0979999999999999</v>
      </c>
      <c r="D200" s="57" t="s">
        <v>412</v>
      </c>
      <c r="E200" s="57" t="s">
        <v>742</v>
      </c>
      <c r="F200" s="58">
        <v>1.4581100000000001E-3</v>
      </c>
      <c r="G200" s="58">
        <v>2.6582616303112427E-2</v>
      </c>
      <c r="H200" s="59">
        <v>0</v>
      </c>
      <c r="I200" s="32" t="s">
        <v>401</v>
      </c>
      <c r="J200" s="22">
        <f t="shared" si="8"/>
        <v>5.174718154198591E-5</v>
      </c>
      <c r="K200" s="22"/>
    </row>
    <row r="201" spans="1:11" x14ac:dyDescent="0.15">
      <c r="A201" s="44" t="s">
        <v>902</v>
      </c>
      <c r="B201" s="44" t="s">
        <v>923</v>
      </c>
      <c r="C201" s="60">
        <v>2.0979999999999999</v>
      </c>
      <c r="D201" s="57" t="s">
        <v>413</v>
      </c>
      <c r="E201" s="57" t="s">
        <v>742</v>
      </c>
      <c r="F201" s="58">
        <v>2.4294839999999996E-3</v>
      </c>
      <c r="G201" s="58">
        <v>4.0059503624815557E-2</v>
      </c>
      <c r="H201" s="59">
        <v>4.33</v>
      </c>
      <c r="I201" s="32" t="s">
        <v>401</v>
      </c>
      <c r="J201" s="22">
        <f t="shared" si="8"/>
        <v>5.7050736018184785E-5</v>
      </c>
      <c r="K201" s="22"/>
    </row>
    <row r="202" spans="1:11" x14ac:dyDescent="0.15">
      <c r="A202" s="44" t="s">
        <v>902</v>
      </c>
      <c r="B202" s="44" t="s">
        <v>923</v>
      </c>
      <c r="C202" s="60">
        <v>2.0979999999999999</v>
      </c>
      <c r="D202" s="57" t="s">
        <v>414</v>
      </c>
      <c r="E202" s="57" t="s">
        <v>742</v>
      </c>
      <c r="F202" s="58">
        <v>7.7206399999999993E-4</v>
      </c>
      <c r="G202" s="58">
        <v>3.3557833387944526E-2</v>
      </c>
      <c r="H202" s="59">
        <v>0</v>
      </c>
      <c r="I202" s="32" t="s">
        <v>401</v>
      </c>
      <c r="J202" s="22">
        <f t="shared" si="8"/>
        <v>2.1704686823214385E-5</v>
      </c>
      <c r="K202" s="22"/>
    </row>
    <row r="203" spans="1:11" x14ac:dyDescent="0.15">
      <c r="A203" s="44" t="s">
        <v>902</v>
      </c>
      <c r="B203" s="44" t="s">
        <v>923</v>
      </c>
      <c r="C203" s="60">
        <v>2.0979999999999999</v>
      </c>
      <c r="D203" s="57" t="s">
        <v>415</v>
      </c>
      <c r="E203" s="57" t="s">
        <v>742</v>
      </c>
      <c r="F203" s="58">
        <v>3.0840599999999996E-3</v>
      </c>
      <c r="G203" s="58">
        <v>3.2290775605562191E-2</v>
      </c>
      <c r="H203" s="59">
        <v>5.67</v>
      </c>
      <c r="I203" s="32" t="s">
        <v>401</v>
      </c>
      <c r="J203" s="22">
        <f t="shared" si="8"/>
        <v>8.9662005529462803E-5</v>
      </c>
      <c r="K203" s="22"/>
    </row>
    <row r="204" spans="1:11" x14ac:dyDescent="0.15">
      <c r="A204" s="44" t="s">
        <v>902</v>
      </c>
      <c r="B204" s="44" t="s">
        <v>923</v>
      </c>
      <c r="C204" s="60">
        <v>2.0979999999999999</v>
      </c>
      <c r="D204" s="57" t="s">
        <v>416</v>
      </c>
      <c r="E204" s="57" t="s">
        <v>742</v>
      </c>
      <c r="F204" s="58">
        <v>2.3329759999999996E-3</v>
      </c>
      <c r="G204" s="58">
        <v>3.6680682871795968E-2</v>
      </c>
      <c r="H204" s="59">
        <v>0</v>
      </c>
      <c r="I204" s="32" t="s">
        <v>401</v>
      </c>
      <c r="J204" s="22">
        <f t="shared" si="8"/>
        <v>6.0002175052452039E-5</v>
      </c>
      <c r="K204" s="22"/>
    </row>
    <row r="205" spans="1:11" x14ac:dyDescent="0.15">
      <c r="A205" s="44" t="s">
        <v>902</v>
      </c>
      <c r="B205" s="44" t="s">
        <v>923</v>
      </c>
      <c r="C205" s="60">
        <v>2.0979999999999999</v>
      </c>
      <c r="D205" s="57" t="s">
        <v>417</v>
      </c>
      <c r="E205" s="57" t="s">
        <v>742</v>
      </c>
      <c r="F205" s="58">
        <v>3.218332E-3</v>
      </c>
      <c r="G205" s="58">
        <v>3.6821467069838451E-2</v>
      </c>
      <c r="H205" s="59">
        <v>0</v>
      </c>
      <c r="I205" s="32" t="s">
        <v>401</v>
      </c>
      <c r="J205" s="22">
        <f t="shared" si="8"/>
        <v>8.2456308935011265E-5</v>
      </c>
      <c r="K205" s="22"/>
    </row>
    <row r="206" spans="1:11" x14ac:dyDescent="0.15">
      <c r="A206" s="44" t="s">
        <v>902</v>
      </c>
      <c r="B206" s="44" t="s">
        <v>923</v>
      </c>
      <c r="C206" s="60">
        <v>2.0979999999999999</v>
      </c>
      <c r="D206" s="57" t="s">
        <v>418</v>
      </c>
      <c r="E206" s="57" t="s">
        <v>742</v>
      </c>
      <c r="F206" s="58">
        <v>1.281878E-3</v>
      </c>
      <c r="G206" s="58">
        <v>2.0772068492995416E-2</v>
      </c>
      <c r="H206" s="59">
        <v>17.670000000000002</v>
      </c>
      <c r="I206" s="32" t="s">
        <v>401</v>
      </c>
      <c r="J206" s="22">
        <f t="shared" si="8"/>
        <v>5.5471791823253963E-5</v>
      </c>
      <c r="K206" s="22"/>
    </row>
    <row r="207" spans="1:11" x14ac:dyDescent="0.15">
      <c r="A207" s="44" t="s">
        <v>902</v>
      </c>
      <c r="B207" s="44" t="s">
        <v>923</v>
      </c>
      <c r="C207" s="60">
        <v>2.0979999999999999</v>
      </c>
      <c r="D207" s="57" t="s">
        <v>419</v>
      </c>
      <c r="E207" s="57" t="s">
        <v>743</v>
      </c>
      <c r="F207" s="58">
        <v>8.9165000000000002E-4</v>
      </c>
      <c r="G207" s="58">
        <v>3.7307812481257932E-2</v>
      </c>
      <c r="H207" s="59">
        <v>0</v>
      </c>
      <c r="I207" s="32" t="s">
        <v>401</v>
      </c>
      <c r="J207" s="22">
        <f t="shared" si="8"/>
        <v>2.254699992677395E-5</v>
      </c>
      <c r="K207" s="22"/>
    </row>
    <row r="208" spans="1:11" x14ac:dyDescent="0.15">
      <c r="A208" s="44" t="s">
        <v>902</v>
      </c>
      <c r="B208" s="44" t="s">
        <v>923</v>
      </c>
      <c r="C208" s="60">
        <v>2.0979999999999999</v>
      </c>
      <c r="D208" s="57" t="s">
        <v>420</v>
      </c>
      <c r="E208" s="57" t="s">
        <v>743</v>
      </c>
      <c r="F208" s="58">
        <v>1.5063639999999998E-3</v>
      </c>
      <c r="G208" s="58">
        <v>3.0742149427094877E-2</v>
      </c>
      <c r="H208" s="59">
        <v>0</v>
      </c>
      <c r="I208" s="32" t="s">
        <v>401</v>
      </c>
      <c r="J208" s="22">
        <f t="shared" si="8"/>
        <v>4.6226374527834704E-5</v>
      </c>
      <c r="K208" s="22"/>
    </row>
    <row r="209" spans="1:11" x14ac:dyDescent="0.15">
      <c r="A209" s="44" t="s">
        <v>902</v>
      </c>
      <c r="B209" s="44" t="s">
        <v>923</v>
      </c>
      <c r="C209" s="60">
        <v>2.0979999999999999</v>
      </c>
      <c r="D209" s="57" t="s">
        <v>421</v>
      </c>
      <c r="E209" s="57" t="s">
        <v>743</v>
      </c>
      <c r="F209" s="58">
        <v>1.1811739999999999E-3</v>
      </c>
      <c r="G209" s="58">
        <v>3.8203711923346463E-2</v>
      </c>
      <c r="H209" s="59">
        <v>0</v>
      </c>
      <c r="I209" s="32" t="s">
        <v>401</v>
      </c>
      <c r="J209" s="22">
        <f t="shared" si="8"/>
        <v>2.9167717958281941E-5</v>
      </c>
      <c r="K209" s="22"/>
    </row>
    <row r="210" spans="1:11" x14ac:dyDescent="0.15">
      <c r="A210" s="44" t="s">
        <v>902</v>
      </c>
      <c r="B210" s="44" t="s">
        <v>923</v>
      </c>
      <c r="C210" s="60">
        <v>2.0979999999999999</v>
      </c>
      <c r="D210" s="57" t="s">
        <v>422</v>
      </c>
      <c r="E210" s="57" t="s">
        <v>743</v>
      </c>
      <c r="F210" s="58">
        <v>2.2889179999999996E-3</v>
      </c>
      <c r="G210" s="58">
        <v>4.5946842815683016E-2</v>
      </c>
      <c r="H210" s="59">
        <v>0</v>
      </c>
      <c r="I210" s="32" t="s">
        <v>401</v>
      </c>
      <c r="J210" s="22">
        <f t="shared" si="8"/>
        <v>4.6996843992870216E-5</v>
      </c>
      <c r="K210" s="22"/>
    </row>
    <row r="211" spans="1:11" x14ac:dyDescent="0.15">
      <c r="A211" s="44" t="s">
        <v>902</v>
      </c>
      <c r="B211" s="44" t="s">
        <v>923</v>
      </c>
      <c r="C211" s="60">
        <v>2.0979999999999999</v>
      </c>
      <c r="D211" s="57" t="s">
        <v>423</v>
      </c>
      <c r="E211" s="57" t="s">
        <v>743</v>
      </c>
      <c r="F211" s="58">
        <v>4.0239639999999997E-3</v>
      </c>
      <c r="G211" s="58">
        <v>4.6753152313562696E-2</v>
      </c>
      <c r="H211" s="59">
        <v>0</v>
      </c>
      <c r="I211" s="32" t="s">
        <v>401</v>
      </c>
      <c r="J211" s="22">
        <f t="shared" si="8"/>
        <v>8.1196502588103445E-5</v>
      </c>
      <c r="K211" s="22"/>
    </row>
    <row r="212" spans="1:11" x14ac:dyDescent="0.15">
      <c r="A212" s="44" t="s">
        <v>902</v>
      </c>
      <c r="B212" s="44" t="s">
        <v>923</v>
      </c>
      <c r="C212" s="60">
        <v>2.0979999999999999</v>
      </c>
      <c r="D212" s="57" t="s">
        <v>424</v>
      </c>
      <c r="E212" s="57" t="s">
        <v>743</v>
      </c>
      <c r="F212" s="58">
        <v>8.4759199999999999E-4</v>
      </c>
      <c r="G212" s="58">
        <v>3.1970811519101999E-2</v>
      </c>
      <c r="H212" s="59">
        <v>0</v>
      </c>
      <c r="I212" s="32" t="s">
        <v>401</v>
      </c>
      <c r="J212" s="22">
        <f t="shared" si="8"/>
        <v>2.5010785036278065E-5</v>
      </c>
      <c r="K212" s="22"/>
    </row>
    <row r="213" spans="1:11" x14ac:dyDescent="0.15">
      <c r="A213" s="44" t="s">
        <v>902</v>
      </c>
      <c r="B213" s="44" t="s">
        <v>923</v>
      </c>
      <c r="C213" s="60">
        <v>2.0979999999999999</v>
      </c>
      <c r="D213" s="57" t="s">
        <v>425</v>
      </c>
      <c r="E213" s="57" t="s">
        <v>743</v>
      </c>
      <c r="F213" s="58">
        <v>1.923866E-3</v>
      </c>
      <c r="G213" s="58">
        <v>4.3630302829711254E-2</v>
      </c>
      <c r="H213" s="59">
        <v>0</v>
      </c>
      <c r="I213" s="32" t="s">
        <v>401</v>
      </c>
      <c r="J213" s="22">
        <f t="shared" si="8"/>
        <v>4.1598792738434755E-5</v>
      </c>
      <c r="K213" s="22"/>
    </row>
    <row r="214" spans="1:11" x14ac:dyDescent="0.15">
      <c r="A214" s="33" t="s">
        <v>920</v>
      </c>
      <c r="B214" s="33" t="s">
        <v>923</v>
      </c>
      <c r="C214" s="33">
        <v>1.359</v>
      </c>
      <c r="D214" s="33" t="s">
        <v>698</v>
      </c>
      <c r="E214" s="33" t="s">
        <v>742</v>
      </c>
      <c r="F214" s="33">
        <v>3.7366999999999999E-3</v>
      </c>
      <c r="G214" s="33" t="s">
        <v>974</v>
      </c>
      <c r="H214" s="33">
        <v>0</v>
      </c>
      <c r="I214" s="33" t="s">
        <v>364</v>
      </c>
      <c r="J214" s="22">
        <v>6.7316987401326844E-5</v>
      </c>
      <c r="K214" s="22" t="s">
        <v>365</v>
      </c>
    </row>
    <row r="215" spans="1:11" x14ac:dyDescent="0.15">
      <c r="A215" s="33" t="s">
        <v>920</v>
      </c>
      <c r="B215" s="33" t="s">
        <v>923</v>
      </c>
      <c r="C215" s="33">
        <v>1.359</v>
      </c>
      <c r="D215" s="33" t="s">
        <v>699</v>
      </c>
      <c r="E215" s="33" t="s">
        <v>742</v>
      </c>
      <c r="F215" s="33">
        <v>7.1184999999999998E-3</v>
      </c>
      <c r="G215" s="33" t="s">
        <v>975</v>
      </c>
      <c r="H215" s="33">
        <v>0</v>
      </c>
      <c r="I215" s="33" t="s">
        <v>364</v>
      </c>
      <c r="J215" s="22">
        <v>1.6342360104484578E-4</v>
      </c>
      <c r="K215" s="22"/>
    </row>
    <row r="216" spans="1:11" x14ac:dyDescent="0.15">
      <c r="A216" s="33" t="s">
        <v>920</v>
      </c>
      <c r="B216" s="33" t="s">
        <v>923</v>
      </c>
      <c r="C216" s="33">
        <v>1.359</v>
      </c>
      <c r="D216" s="33" t="s">
        <v>700</v>
      </c>
      <c r="E216" s="33" t="s">
        <v>742</v>
      </c>
      <c r="F216" s="33">
        <v>1.1536999999999999E-3</v>
      </c>
      <c r="G216" s="33" t="s">
        <v>976</v>
      </c>
      <c r="H216" s="33">
        <v>0</v>
      </c>
      <c r="I216" s="33" t="s">
        <v>364</v>
      </c>
      <c r="J216" s="22">
        <v>4.3837450717540453E-5</v>
      </c>
      <c r="K216" s="22"/>
    </row>
    <row r="217" spans="1:11" x14ac:dyDescent="0.15">
      <c r="A217" s="33" t="s">
        <v>920</v>
      </c>
      <c r="B217" s="33" t="s">
        <v>923</v>
      </c>
      <c r="C217" s="33">
        <v>1.359</v>
      </c>
      <c r="D217" s="33" t="s">
        <v>701</v>
      </c>
      <c r="E217" s="33" t="s">
        <v>742</v>
      </c>
      <c r="F217" s="33">
        <v>1.8054E-3</v>
      </c>
      <c r="G217" s="33" t="s">
        <v>977</v>
      </c>
      <c r="H217" s="33">
        <v>0</v>
      </c>
      <c r="I217" s="33" t="s">
        <v>364</v>
      </c>
      <c r="J217" s="22">
        <v>4.1126371448539413E-5</v>
      </c>
      <c r="K217" s="22"/>
    </row>
    <row r="218" spans="1:11" x14ac:dyDescent="0.15">
      <c r="A218" s="33" t="s">
        <v>920</v>
      </c>
      <c r="B218" s="33" t="s">
        <v>923</v>
      </c>
      <c r="C218" s="33">
        <v>1.359</v>
      </c>
      <c r="D218" s="33" t="s">
        <v>702</v>
      </c>
      <c r="E218" s="33" t="s">
        <v>742</v>
      </c>
      <c r="F218" s="33">
        <v>1.7349999999999999E-4</v>
      </c>
      <c r="G218" s="33" t="s">
        <v>978</v>
      </c>
      <c r="H218" s="33">
        <v>0</v>
      </c>
      <c r="I218" s="33" t="s">
        <v>364</v>
      </c>
      <c r="J218" s="22">
        <v>9.3353181738100709E-6</v>
      </c>
      <c r="K218" s="22"/>
    </row>
    <row r="219" spans="1:11" x14ac:dyDescent="0.15">
      <c r="A219" s="33" t="s">
        <v>920</v>
      </c>
      <c r="B219" s="33" t="s">
        <v>923</v>
      </c>
      <c r="C219" s="33">
        <v>1.359</v>
      </c>
      <c r="D219" s="33" t="s">
        <v>525</v>
      </c>
      <c r="E219" s="33" t="s">
        <v>742</v>
      </c>
      <c r="F219" s="33">
        <v>1.1695E-3</v>
      </c>
      <c r="G219" s="33" t="s">
        <v>979</v>
      </c>
      <c r="H219" s="33" t="s">
        <v>1003</v>
      </c>
      <c r="I219" s="33" t="s">
        <v>364</v>
      </c>
      <c r="J219" s="22">
        <v>1.3766970019029137E-4</v>
      </c>
      <c r="K219" s="22"/>
    </row>
    <row r="220" spans="1:11" x14ac:dyDescent="0.15">
      <c r="A220" s="33" t="s">
        <v>920</v>
      </c>
      <c r="B220" s="33" t="s">
        <v>923</v>
      </c>
      <c r="C220" s="33">
        <v>1.359</v>
      </c>
      <c r="D220" s="33" t="s">
        <v>703</v>
      </c>
      <c r="E220" s="33" t="s">
        <v>742</v>
      </c>
      <c r="F220" s="33">
        <v>1.1107000000000001E-3</v>
      </c>
      <c r="G220" s="33" t="s">
        <v>980</v>
      </c>
      <c r="H220" s="33" t="s">
        <v>1004</v>
      </c>
      <c r="I220" s="33" t="s">
        <v>364</v>
      </c>
      <c r="J220" s="22">
        <v>8.5919708463017705E-5</v>
      </c>
      <c r="K220" s="22"/>
    </row>
    <row r="221" spans="1:11" x14ac:dyDescent="0.15">
      <c r="A221" s="33" t="s">
        <v>920</v>
      </c>
      <c r="B221" s="33" t="s">
        <v>923</v>
      </c>
      <c r="C221" s="33">
        <v>1.359</v>
      </c>
      <c r="D221" s="33" t="s">
        <v>704</v>
      </c>
      <c r="E221" s="33" t="s">
        <v>742</v>
      </c>
      <c r="F221" s="33">
        <v>1.8309999999999999E-3</v>
      </c>
      <c r="G221" s="33" t="s">
        <v>981</v>
      </c>
      <c r="H221" s="33" t="s">
        <v>1005</v>
      </c>
      <c r="I221" s="33" t="s">
        <v>364</v>
      </c>
      <c r="J221" s="22">
        <v>8.0546782886802123E-5</v>
      </c>
      <c r="K221" s="22"/>
    </row>
    <row r="222" spans="1:11" x14ac:dyDescent="0.15">
      <c r="A222" s="33" t="s">
        <v>920</v>
      </c>
      <c r="B222" s="33" t="s">
        <v>923</v>
      </c>
      <c r="C222" s="33">
        <v>1.359</v>
      </c>
      <c r="D222" s="33" t="s">
        <v>705</v>
      </c>
      <c r="E222" s="33" t="s">
        <v>742</v>
      </c>
      <c r="F222" s="33">
        <v>6.4580000000000008E-4</v>
      </c>
      <c r="G222" s="33" t="s">
        <v>982</v>
      </c>
      <c r="H222" s="33">
        <v>0</v>
      </c>
      <c r="I222" s="33" t="s">
        <v>364</v>
      </c>
      <c r="J222" s="22">
        <v>3.1062811851924407E-5</v>
      </c>
      <c r="K222" s="22"/>
    </row>
    <row r="223" spans="1:11" x14ac:dyDescent="0.15">
      <c r="A223" s="33" t="s">
        <v>920</v>
      </c>
      <c r="B223" s="33" t="s">
        <v>923</v>
      </c>
      <c r="C223" s="33">
        <v>1.359</v>
      </c>
      <c r="D223" s="33" t="s">
        <v>706</v>
      </c>
      <c r="E223" s="33" t="s">
        <v>742</v>
      </c>
      <c r="F223" s="33">
        <v>5.9650000000000002E-4</v>
      </c>
      <c r="G223" s="33" t="s">
        <v>983</v>
      </c>
      <c r="H223" s="33">
        <v>0</v>
      </c>
      <c r="I223" s="33" t="s">
        <v>364</v>
      </c>
      <c r="J223" s="22">
        <v>1.5307680527875366E-5</v>
      </c>
      <c r="K223" s="22"/>
    </row>
    <row r="224" spans="1:11" x14ac:dyDescent="0.15">
      <c r="A224" s="33" t="s">
        <v>920</v>
      </c>
      <c r="B224" s="33" t="s">
        <v>923</v>
      </c>
      <c r="C224" s="33">
        <v>1.359</v>
      </c>
      <c r="D224" s="33" t="s">
        <v>501</v>
      </c>
      <c r="E224" s="33" t="s">
        <v>742</v>
      </c>
      <c r="F224" s="33">
        <v>1.031E-3</v>
      </c>
      <c r="G224" s="33" t="s">
        <v>984</v>
      </c>
      <c r="H224" s="33">
        <v>0</v>
      </c>
      <c r="I224" s="33" t="s">
        <v>364</v>
      </c>
      <c r="J224" s="22">
        <v>3.8353371823105762E-5</v>
      </c>
      <c r="K224" s="22"/>
    </row>
    <row r="225" spans="1:11" x14ac:dyDescent="0.15">
      <c r="A225" s="33" t="s">
        <v>920</v>
      </c>
      <c r="B225" s="33" t="s">
        <v>923</v>
      </c>
      <c r="C225" s="33">
        <v>1.359</v>
      </c>
      <c r="D225" s="33" t="s">
        <v>502</v>
      </c>
      <c r="E225" s="33" t="s">
        <v>742</v>
      </c>
      <c r="F225" s="33">
        <v>4.2930000000000003E-4</v>
      </c>
      <c r="G225" s="33" t="s">
        <v>985</v>
      </c>
      <c r="H225" s="33">
        <v>0</v>
      </c>
      <c r="I225" s="33" t="s">
        <v>364</v>
      </c>
      <c r="J225" s="22">
        <v>1.4998888971187322E-5</v>
      </c>
      <c r="K225" s="22"/>
    </row>
    <row r="226" spans="1:11" x14ac:dyDescent="0.15">
      <c r="A226" s="33" t="s">
        <v>920</v>
      </c>
      <c r="B226" s="33" t="s">
        <v>923</v>
      </c>
      <c r="C226" s="33">
        <v>1.359</v>
      </c>
      <c r="D226" s="33" t="s">
        <v>707</v>
      </c>
      <c r="E226" s="33" t="s">
        <v>742</v>
      </c>
      <c r="F226" s="33">
        <v>7.2209999999999993E-4</v>
      </c>
      <c r="G226" s="33" t="s">
        <v>986</v>
      </c>
      <c r="H226" s="33">
        <v>0</v>
      </c>
      <c r="I226" s="33" t="s">
        <v>364</v>
      </c>
      <c r="J226" s="22">
        <v>3.7619498309419485E-5</v>
      </c>
      <c r="K226" s="22"/>
    </row>
    <row r="227" spans="1:11" x14ac:dyDescent="0.15">
      <c r="A227" s="33" t="s">
        <v>920</v>
      </c>
      <c r="B227" s="33" t="s">
        <v>923</v>
      </c>
      <c r="C227" s="33">
        <v>1.359</v>
      </c>
      <c r="D227" s="33" t="s">
        <v>708</v>
      </c>
      <c r="E227" s="33" t="s">
        <v>742</v>
      </c>
      <c r="F227" s="33">
        <v>1.8064999999999999E-3</v>
      </c>
      <c r="G227" s="33" t="s">
        <v>987</v>
      </c>
      <c r="H227" s="33" t="s">
        <v>1006</v>
      </c>
      <c r="I227" s="33" t="s">
        <v>364</v>
      </c>
      <c r="J227" s="22">
        <v>1.5865567948908536E-4</v>
      </c>
      <c r="K227" s="22"/>
    </row>
    <row r="228" spans="1:11" x14ac:dyDescent="0.15">
      <c r="A228" s="33" t="s">
        <v>920</v>
      </c>
      <c r="B228" s="33" t="s">
        <v>923</v>
      </c>
      <c r="C228" s="33">
        <v>1.359</v>
      </c>
      <c r="D228" s="33" t="s">
        <v>709</v>
      </c>
      <c r="E228" s="33" t="s">
        <v>742</v>
      </c>
      <c r="F228" s="33">
        <v>2.0813999999999997E-3</v>
      </c>
      <c r="G228" s="33" t="s">
        <v>988</v>
      </c>
      <c r="H228" s="33" t="s">
        <v>1007</v>
      </c>
      <c r="I228" s="33" t="s">
        <v>364</v>
      </c>
      <c r="J228" s="22">
        <v>8.6169351956427064E-5</v>
      </c>
      <c r="K228" s="22"/>
    </row>
    <row r="229" spans="1:11" x14ac:dyDescent="0.15">
      <c r="A229" s="33" t="s">
        <v>920</v>
      </c>
      <c r="B229" s="33" t="s">
        <v>923</v>
      </c>
      <c r="C229" s="33">
        <v>1.359</v>
      </c>
      <c r="D229" s="33" t="s">
        <v>715</v>
      </c>
      <c r="E229" s="33" t="s">
        <v>743</v>
      </c>
      <c r="F229" s="33">
        <v>2.3469999999999999E-4</v>
      </c>
      <c r="G229" s="33" t="s">
        <v>989</v>
      </c>
      <c r="H229" s="33" t="s">
        <v>1008</v>
      </c>
      <c r="I229" s="33" t="s">
        <v>364</v>
      </c>
      <c r="J229" s="22">
        <v>1.6956415080369434E-5</v>
      </c>
      <c r="K229" s="22"/>
    </row>
    <row r="230" spans="1:11" x14ac:dyDescent="0.15">
      <c r="A230" s="33" t="s">
        <v>920</v>
      </c>
      <c r="B230" s="33" t="s">
        <v>923</v>
      </c>
      <c r="C230" s="33">
        <v>1.359</v>
      </c>
      <c r="D230" s="33" t="s">
        <v>710</v>
      </c>
      <c r="E230" s="33" t="s">
        <v>743</v>
      </c>
      <c r="F230" s="33">
        <v>3.968E-4</v>
      </c>
      <c r="G230" s="33" t="s">
        <v>990</v>
      </c>
      <c r="H230" s="33">
        <v>0</v>
      </c>
      <c r="I230" s="33" t="s">
        <v>364</v>
      </c>
      <c r="J230" s="22">
        <v>1.5510239181334551E-5</v>
      </c>
      <c r="K230" s="22"/>
    </row>
    <row r="231" spans="1:11" x14ac:dyDescent="0.15">
      <c r="A231" s="33" t="s">
        <v>920</v>
      </c>
      <c r="B231" s="33" t="s">
        <v>923</v>
      </c>
      <c r="C231" s="33">
        <v>1.359</v>
      </c>
      <c r="D231" s="33" t="s">
        <v>711</v>
      </c>
      <c r="E231" s="33" t="s">
        <v>743</v>
      </c>
      <c r="F231" s="33">
        <v>1.4299999999999998E-4</v>
      </c>
      <c r="G231" s="33" t="s">
        <v>991</v>
      </c>
      <c r="H231" s="33">
        <v>0</v>
      </c>
      <c r="I231" s="33" t="s">
        <v>364</v>
      </c>
      <c r="J231" s="22">
        <v>8.7487458091672164E-6</v>
      </c>
      <c r="K231" s="22"/>
    </row>
    <row r="232" spans="1:11" x14ac:dyDescent="0.15">
      <c r="A232" s="33" t="s">
        <v>920</v>
      </c>
      <c r="B232" s="33" t="s">
        <v>923</v>
      </c>
      <c r="C232" s="33">
        <v>1.359</v>
      </c>
      <c r="D232" s="33" t="s">
        <v>512</v>
      </c>
      <c r="E232" s="33" t="s">
        <v>743</v>
      </c>
      <c r="F232" s="33">
        <v>4.661E-4</v>
      </c>
      <c r="G232" s="33" t="s">
        <v>992</v>
      </c>
      <c r="H232" s="33" t="s">
        <v>1010</v>
      </c>
      <c r="I232" s="33" t="s">
        <v>364</v>
      </c>
      <c r="J232" s="22">
        <v>2.2423948579794745E-5</v>
      </c>
      <c r="K232" s="22"/>
    </row>
    <row r="233" spans="1:11" x14ac:dyDescent="0.15">
      <c r="A233" s="33" t="s">
        <v>920</v>
      </c>
      <c r="B233" s="33" t="s">
        <v>923</v>
      </c>
      <c r="C233" s="33">
        <v>1.359</v>
      </c>
      <c r="D233" s="33" t="s">
        <v>513</v>
      </c>
      <c r="E233" s="33" t="s">
        <v>743</v>
      </c>
      <c r="F233" s="33">
        <v>5.6950000000000002E-4</v>
      </c>
      <c r="G233" s="33" t="s">
        <v>993</v>
      </c>
      <c r="H233" s="33" t="s">
        <v>1009</v>
      </c>
      <c r="I233" s="33" t="s">
        <v>364</v>
      </c>
      <c r="J233" s="22">
        <v>6.3621722497206017E-5</v>
      </c>
      <c r="K233" s="22"/>
    </row>
    <row r="234" spans="1:11" x14ac:dyDescent="0.15">
      <c r="A234" s="33" t="s">
        <v>920</v>
      </c>
      <c r="B234" s="33" t="s">
        <v>923</v>
      </c>
      <c r="C234" s="33">
        <v>1.359</v>
      </c>
      <c r="D234" s="33" t="s">
        <v>712</v>
      </c>
      <c r="E234" s="33" t="s">
        <v>743</v>
      </c>
      <c r="F234" s="33">
        <v>3.702E-4</v>
      </c>
      <c r="G234" s="33" t="s">
        <v>994</v>
      </c>
      <c r="H234" s="33">
        <v>0</v>
      </c>
      <c r="I234" s="33" t="s">
        <v>364</v>
      </c>
      <c r="J234" s="22">
        <v>1.7338725730116321E-5</v>
      </c>
      <c r="K234" s="22"/>
    </row>
    <row r="235" spans="1:11" x14ac:dyDescent="0.15">
      <c r="A235" s="33" t="s">
        <v>920</v>
      </c>
      <c r="B235" s="33" t="s">
        <v>923</v>
      </c>
      <c r="C235" s="33">
        <v>1.359</v>
      </c>
      <c r="D235" s="33" t="s">
        <v>713</v>
      </c>
      <c r="E235" s="33" t="s">
        <v>743</v>
      </c>
      <c r="F235" s="33">
        <v>7.6180000000000009E-4</v>
      </c>
      <c r="G235" s="33" t="s">
        <v>995</v>
      </c>
      <c r="H235" s="33">
        <v>0</v>
      </c>
      <c r="I235" s="33" t="s">
        <v>364</v>
      </c>
      <c r="J235" s="22">
        <v>2.8451276535353084E-5</v>
      </c>
      <c r="K235" s="22"/>
    </row>
    <row r="236" spans="1:11" x14ac:dyDescent="0.15">
      <c r="A236" s="33" t="s">
        <v>920</v>
      </c>
      <c r="B236" s="33" t="s">
        <v>923</v>
      </c>
      <c r="C236" s="33">
        <v>1.359</v>
      </c>
      <c r="D236" s="33" t="s">
        <v>714</v>
      </c>
      <c r="E236" s="33" t="s">
        <v>743</v>
      </c>
      <c r="F236" s="33">
        <v>3.7960000000000001E-4</v>
      </c>
      <c r="G236" s="33" t="s">
        <v>996</v>
      </c>
      <c r="H236" s="33" t="s">
        <v>1011</v>
      </c>
      <c r="I236" s="33" t="s">
        <v>364</v>
      </c>
      <c r="J236" s="22">
        <v>2.2718193294327323E-5</v>
      </c>
      <c r="K236" s="22"/>
    </row>
    <row r="237" spans="1:11" x14ac:dyDescent="0.15">
      <c r="A237" s="33" t="s">
        <v>920</v>
      </c>
      <c r="B237" s="33" t="s">
        <v>923</v>
      </c>
      <c r="C237" s="33">
        <v>1.359</v>
      </c>
      <c r="D237" s="33" t="s">
        <v>716</v>
      </c>
      <c r="E237" s="33" t="s">
        <v>743</v>
      </c>
      <c r="F237" s="33">
        <v>1.2539000000000001E-3</v>
      </c>
      <c r="G237" s="33" t="s">
        <v>997</v>
      </c>
      <c r="H237" s="33">
        <v>0</v>
      </c>
      <c r="I237" s="33" t="s">
        <v>364</v>
      </c>
      <c r="J237" s="22">
        <v>5.0014929322380747E-5</v>
      </c>
      <c r="K237" s="22"/>
    </row>
    <row r="238" spans="1:11" x14ac:dyDescent="0.15">
      <c r="A238" s="33" t="s">
        <v>920</v>
      </c>
      <c r="B238" s="33" t="s">
        <v>923</v>
      </c>
      <c r="C238" s="33">
        <v>1.359</v>
      </c>
      <c r="D238" s="33" t="s">
        <v>717</v>
      </c>
      <c r="E238" s="33" t="s">
        <v>743</v>
      </c>
      <c r="F238" s="33">
        <v>4.7370000000000002E-4</v>
      </c>
      <c r="G238" s="33" t="s">
        <v>998</v>
      </c>
      <c r="H238" s="33">
        <v>0</v>
      </c>
      <c r="I238" s="33" t="s">
        <v>364</v>
      </c>
      <c r="J238" s="22">
        <v>1.4908650290336286E-5</v>
      </c>
      <c r="K238" s="22"/>
    </row>
    <row r="239" spans="1:11" x14ac:dyDescent="0.15">
      <c r="A239" s="33" t="s">
        <v>920</v>
      </c>
      <c r="B239" s="33" t="s">
        <v>923</v>
      </c>
      <c r="C239" s="33">
        <v>1.359</v>
      </c>
      <c r="D239" s="33" t="s">
        <v>130</v>
      </c>
      <c r="E239" s="33" t="s">
        <v>743</v>
      </c>
      <c r="F239" s="33">
        <v>7.3559999999999999E-4</v>
      </c>
      <c r="G239" s="33" t="s">
        <v>999</v>
      </c>
      <c r="H239" s="33">
        <v>0</v>
      </c>
      <c r="I239" s="33" t="s">
        <v>364</v>
      </c>
      <c r="J239" s="22">
        <v>2.266221227062058E-5</v>
      </c>
      <c r="K239" s="22"/>
    </row>
    <row r="240" spans="1:11" x14ac:dyDescent="0.15">
      <c r="A240" s="33" t="s">
        <v>920</v>
      </c>
      <c r="B240" s="33" t="s">
        <v>923</v>
      </c>
      <c r="C240" s="33">
        <v>1.359</v>
      </c>
      <c r="D240" s="33" t="s">
        <v>719</v>
      </c>
      <c r="E240" s="33" t="s">
        <v>743</v>
      </c>
      <c r="F240" s="33">
        <v>9.6279999999999998E-4</v>
      </c>
      <c r="G240" s="33" t="s">
        <v>1000</v>
      </c>
      <c r="H240" s="33">
        <v>0</v>
      </c>
      <c r="I240" s="33" t="s">
        <v>364</v>
      </c>
      <c r="J240" s="22">
        <v>3.9988636382515319E-5</v>
      </c>
      <c r="K240" s="22"/>
    </row>
    <row r="241" spans="1:11" x14ac:dyDescent="0.15">
      <c r="A241" s="33" t="s">
        <v>920</v>
      </c>
      <c r="B241" s="33" t="s">
        <v>923</v>
      </c>
      <c r="C241" s="33">
        <v>1.359</v>
      </c>
      <c r="D241" s="33" t="s">
        <v>720</v>
      </c>
      <c r="E241" s="33" t="s">
        <v>743</v>
      </c>
      <c r="F241" s="33">
        <v>1.8479999999999999E-4</v>
      </c>
      <c r="G241" s="33" t="s">
        <v>1001</v>
      </c>
      <c r="H241" s="33" t="s">
        <v>1012</v>
      </c>
      <c r="I241" s="33" t="s">
        <v>364</v>
      </c>
      <c r="J241" s="22">
        <v>1.5008951175812069E-5</v>
      </c>
      <c r="K241" s="22"/>
    </row>
    <row r="242" spans="1:11" x14ac:dyDescent="0.15">
      <c r="A242" s="33" t="s">
        <v>920</v>
      </c>
      <c r="B242" s="33" t="s">
        <v>923</v>
      </c>
      <c r="C242" s="33">
        <v>1.359</v>
      </c>
      <c r="D242" s="33" t="s">
        <v>718</v>
      </c>
      <c r="E242" s="33" t="s">
        <v>743</v>
      </c>
      <c r="F242" s="33">
        <v>2.9570000000000003E-4</v>
      </c>
      <c r="G242" s="33" t="s">
        <v>1002</v>
      </c>
      <c r="H242" s="33">
        <v>0</v>
      </c>
      <c r="I242" s="33" t="s">
        <v>364</v>
      </c>
      <c r="J242" s="22">
        <v>4.0409792008365045E-5</v>
      </c>
      <c r="K242" s="22"/>
    </row>
    <row r="243" spans="1:11" x14ac:dyDescent="0.15">
      <c r="A243" s="30" t="s">
        <v>95</v>
      </c>
      <c r="B243" s="30" t="s">
        <v>925</v>
      </c>
      <c r="C243" s="30">
        <v>31.4</v>
      </c>
      <c r="D243" s="30" t="s">
        <v>385</v>
      </c>
      <c r="E243" s="30" t="s">
        <v>742</v>
      </c>
      <c r="F243" s="30">
        <v>0.32500000000000001</v>
      </c>
      <c r="G243" s="30">
        <v>0.40299999999999997</v>
      </c>
      <c r="H243" s="30">
        <v>0</v>
      </c>
      <c r="I243" s="30" t="s">
        <v>426</v>
      </c>
      <c r="J243" s="22">
        <f t="shared" ref="J243:J287" si="9">F243*COS(RADIANS(H243))/(1060*G243)</f>
        <v>7.608034083992697E-4</v>
      </c>
      <c r="K243" s="22" t="s">
        <v>360</v>
      </c>
    </row>
    <row r="244" spans="1:11" x14ac:dyDescent="0.15">
      <c r="A244" s="30" t="s">
        <v>95</v>
      </c>
      <c r="B244" s="30" t="s">
        <v>925</v>
      </c>
      <c r="C244" s="30">
        <v>31.4</v>
      </c>
      <c r="D244" s="30" t="s">
        <v>427</v>
      </c>
      <c r="E244" s="30" t="s">
        <v>742</v>
      </c>
      <c r="F244" s="30">
        <v>4.8799999999999996E-2</v>
      </c>
      <c r="G244" s="30">
        <v>0.14300000000000002</v>
      </c>
      <c r="H244" s="30">
        <v>0</v>
      </c>
      <c r="I244" s="30" t="s">
        <v>426</v>
      </c>
      <c r="J244" s="22">
        <f t="shared" si="9"/>
        <v>3.2194220873466153E-4</v>
      </c>
      <c r="K244" s="22"/>
    </row>
    <row r="245" spans="1:11" x14ac:dyDescent="0.15">
      <c r="A245" s="30" t="s">
        <v>95</v>
      </c>
      <c r="B245" s="30" t="s">
        <v>925</v>
      </c>
      <c r="C245" s="30">
        <v>31.4</v>
      </c>
      <c r="D245" s="30" t="s">
        <v>257</v>
      </c>
      <c r="E245" s="30" t="s">
        <v>742</v>
      </c>
      <c r="F245" s="30">
        <v>0.4</v>
      </c>
      <c r="G245" s="30">
        <v>0.318</v>
      </c>
      <c r="H245" s="30">
        <v>0</v>
      </c>
      <c r="I245" s="30" t="s">
        <v>426</v>
      </c>
      <c r="J245" s="22">
        <f t="shared" si="9"/>
        <v>1.1866619200189867E-3</v>
      </c>
      <c r="K245" s="22"/>
    </row>
    <row r="246" spans="1:11" x14ac:dyDescent="0.15">
      <c r="A246" s="30" t="s">
        <v>95</v>
      </c>
      <c r="B246" s="30" t="s">
        <v>925</v>
      </c>
      <c r="C246" s="30">
        <v>31.4</v>
      </c>
      <c r="D246" s="30" t="s">
        <v>428</v>
      </c>
      <c r="E246" s="30" t="s">
        <v>742</v>
      </c>
      <c r="F246" s="30">
        <v>9.4799999999999995E-2</v>
      </c>
      <c r="G246" s="30">
        <v>0.11199999999999999</v>
      </c>
      <c r="H246" s="30">
        <v>0</v>
      </c>
      <c r="I246" s="30" t="s">
        <v>426</v>
      </c>
      <c r="J246" s="22">
        <f t="shared" si="9"/>
        <v>7.9851752021563348E-4</v>
      </c>
      <c r="K246" s="22"/>
    </row>
    <row r="247" spans="1:11" x14ac:dyDescent="0.15">
      <c r="A247" s="30" t="s">
        <v>95</v>
      </c>
      <c r="B247" s="30" t="s">
        <v>925</v>
      </c>
      <c r="C247" s="30">
        <v>31.4</v>
      </c>
      <c r="D247" s="30" t="s">
        <v>391</v>
      </c>
      <c r="E247" s="30" t="s">
        <v>742</v>
      </c>
      <c r="F247" s="30">
        <v>8.5300000000000001E-2</v>
      </c>
      <c r="G247" s="30">
        <v>3.5000000000000003E-2</v>
      </c>
      <c r="H247" s="30">
        <v>22</v>
      </c>
      <c r="I247" s="30" t="s">
        <v>426</v>
      </c>
      <c r="J247" s="22">
        <f t="shared" si="9"/>
        <v>2.1317731211468183E-3</v>
      </c>
      <c r="K247" s="22"/>
    </row>
    <row r="248" spans="1:11" x14ac:dyDescent="0.15">
      <c r="A248" s="30" t="s">
        <v>95</v>
      </c>
      <c r="B248" s="30" t="s">
        <v>925</v>
      </c>
      <c r="C248" s="30">
        <v>31.4</v>
      </c>
      <c r="D248" s="30" t="s">
        <v>429</v>
      </c>
      <c r="E248" s="30" t="s">
        <v>742</v>
      </c>
      <c r="F248" s="30">
        <v>0.15</v>
      </c>
      <c r="G248" s="30">
        <v>5.9000000000000004E-2</v>
      </c>
      <c r="H248" s="30">
        <v>18</v>
      </c>
      <c r="I248" s="30" t="s">
        <v>426</v>
      </c>
      <c r="J248" s="22">
        <f t="shared" si="9"/>
        <v>2.2810757506279661E-3</v>
      </c>
      <c r="K248" s="22"/>
    </row>
    <row r="249" spans="1:11" x14ac:dyDescent="0.15">
      <c r="A249" s="30" t="s">
        <v>95</v>
      </c>
      <c r="B249" s="30" t="s">
        <v>925</v>
      </c>
      <c r="C249" s="30">
        <v>31.4</v>
      </c>
      <c r="D249" s="30" t="s">
        <v>430</v>
      </c>
      <c r="E249" s="30" t="s">
        <v>742</v>
      </c>
      <c r="F249" s="30">
        <v>0.114</v>
      </c>
      <c r="G249" s="30">
        <v>3.9E-2</v>
      </c>
      <c r="H249" s="30">
        <v>29</v>
      </c>
      <c r="I249" s="30" t="s">
        <v>426</v>
      </c>
      <c r="J249" s="22">
        <f t="shared" si="9"/>
        <v>2.4118685683089287E-3</v>
      </c>
      <c r="K249" s="22"/>
    </row>
    <row r="250" spans="1:11" x14ac:dyDescent="0.15">
      <c r="A250" s="30" t="s">
        <v>95</v>
      </c>
      <c r="B250" s="30" t="s">
        <v>925</v>
      </c>
      <c r="C250" s="30">
        <v>31.4</v>
      </c>
      <c r="D250" s="30" t="s">
        <v>431</v>
      </c>
      <c r="E250" s="30" t="s">
        <v>742</v>
      </c>
      <c r="F250" s="30">
        <v>2.87E-2</v>
      </c>
      <c r="G250" s="30">
        <v>8.3000000000000004E-2</v>
      </c>
      <c r="H250" s="30">
        <v>38</v>
      </c>
      <c r="I250" s="30" t="s">
        <v>426</v>
      </c>
      <c r="J250" s="22">
        <f t="shared" si="9"/>
        <v>2.5705738382033325E-4</v>
      </c>
      <c r="K250" s="22"/>
    </row>
    <row r="251" spans="1:11" x14ac:dyDescent="0.15">
      <c r="A251" s="30" t="s">
        <v>95</v>
      </c>
      <c r="B251" s="30" t="s">
        <v>925</v>
      </c>
      <c r="C251" s="30">
        <v>31.4</v>
      </c>
      <c r="D251" s="30" t="s">
        <v>376</v>
      </c>
      <c r="E251" s="30" t="s">
        <v>742</v>
      </c>
      <c r="F251" s="30">
        <v>4.99E-2</v>
      </c>
      <c r="G251" s="30">
        <v>7.5999999999999998E-2</v>
      </c>
      <c r="H251" s="30">
        <v>0</v>
      </c>
      <c r="I251" s="30" t="s">
        <v>426</v>
      </c>
      <c r="J251" s="22">
        <f t="shared" si="9"/>
        <v>6.1941410129096324E-4</v>
      </c>
      <c r="K251" s="22"/>
    </row>
    <row r="252" spans="1:11" x14ac:dyDescent="0.15">
      <c r="A252" s="30" t="s">
        <v>95</v>
      </c>
      <c r="B252" s="30" t="s">
        <v>925</v>
      </c>
      <c r="C252" s="30">
        <v>31.4</v>
      </c>
      <c r="D252" s="30" t="s">
        <v>371</v>
      </c>
      <c r="E252" s="30" t="s">
        <v>742</v>
      </c>
      <c r="F252" s="30">
        <v>5.4100000000000002E-2</v>
      </c>
      <c r="G252" s="30">
        <v>1.8000000000000002E-2</v>
      </c>
      <c r="H252" s="30">
        <v>41</v>
      </c>
      <c r="I252" s="30" t="s">
        <v>426</v>
      </c>
      <c r="J252" s="22">
        <f t="shared" si="9"/>
        <v>2.1399260110090126E-3</v>
      </c>
      <c r="K252" s="22"/>
    </row>
    <row r="253" spans="1:11" x14ac:dyDescent="0.15">
      <c r="A253" s="30" t="s">
        <v>95</v>
      </c>
      <c r="B253" s="30" t="s">
        <v>925</v>
      </c>
      <c r="C253" s="30">
        <v>31.4</v>
      </c>
      <c r="D253" s="30" t="s">
        <v>432</v>
      </c>
      <c r="E253" s="30" t="s">
        <v>742</v>
      </c>
      <c r="F253" s="30">
        <v>2.3899999999999998E-2</v>
      </c>
      <c r="G253" s="30">
        <v>4.2000000000000003E-2</v>
      </c>
      <c r="H253" s="30">
        <v>15</v>
      </c>
      <c r="I253" s="30" t="s">
        <v>426</v>
      </c>
      <c r="J253" s="22">
        <f t="shared" si="9"/>
        <v>5.1854508643999831E-4</v>
      </c>
      <c r="K253" s="22"/>
    </row>
    <row r="254" spans="1:11" x14ac:dyDescent="0.15">
      <c r="A254" s="30" t="s">
        <v>95</v>
      </c>
      <c r="B254" s="30" t="s">
        <v>925</v>
      </c>
      <c r="C254" s="30">
        <v>31.4</v>
      </c>
      <c r="D254" s="30" t="s">
        <v>433</v>
      </c>
      <c r="E254" s="30" t="s">
        <v>742</v>
      </c>
      <c r="F254" s="30">
        <v>4.3700000000000003E-2</v>
      </c>
      <c r="G254" s="30">
        <v>2.7000000000000003E-2</v>
      </c>
      <c r="H254" s="30">
        <v>30</v>
      </c>
      <c r="I254" s="30" t="s">
        <v>426</v>
      </c>
      <c r="J254" s="22">
        <f t="shared" si="9"/>
        <v>1.3223378806911238E-3</v>
      </c>
      <c r="K254" s="22"/>
    </row>
    <row r="255" spans="1:11" x14ac:dyDescent="0.15">
      <c r="A255" s="30" t="s">
        <v>95</v>
      </c>
      <c r="B255" s="30" t="s">
        <v>925</v>
      </c>
      <c r="C255" s="30">
        <v>31.4</v>
      </c>
      <c r="D255" s="30" t="s">
        <v>434</v>
      </c>
      <c r="E255" s="30" t="s">
        <v>742</v>
      </c>
      <c r="F255" s="30">
        <v>5.62E-2</v>
      </c>
      <c r="G255" s="30">
        <v>0.14800000000000002</v>
      </c>
      <c r="H255" s="30">
        <v>9</v>
      </c>
      <c r="I255" s="30" t="s">
        <v>426</v>
      </c>
      <c r="J255" s="22">
        <f t="shared" si="9"/>
        <v>3.5382511946358193E-4</v>
      </c>
      <c r="K255" s="22"/>
    </row>
    <row r="256" spans="1:11" x14ac:dyDescent="0.15">
      <c r="A256" s="30" t="s">
        <v>95</v>
      </c>
      <c r="B256" s="30" t="s">
        <v>925</v>
      </c>
      <c r="C256" s="30">
        <v>31.4</v>
      </c>
      <c r="D256" s="30" t="s">
        <v>435</v>
      </c>
      <c r="E256" s="30" t="s">
        <v>742</v>
      </c>
      <c r="F256" s="30">
        <v>4.1700000000000001E-2</v>
      </c>
      <c r="G256" s="30">
        <v>1.9E-2</v>
      </c>
      <c r="H256" s="30">
        <v>32</v>
      </c>
      <c r="I256" s="30" t="s">
        <v>426</v>
      </c>
      <c r="J256" s="22">
        <f t="shared" si="9"/>
        <v>1.7558890570865424E-3</v>
      </c>
      <c r="K256" s="22"/>
    </row>
    <row r="257" spans="1:11" x14ac:dyDescent="0.15">
      <c r="A257" s="30" t="s">
        <v>95</v>
      </c>
      <c r="B257" s="30" t="s">
        <v>925</v>
      </c>
      <c r="C257" s="30">
        <v>31.4</v>
      </c>
      <c r="D257" s="30" t="s">
        <v>436</v>
      </c>
      <c r="E257" s="30" t="s">
        <v>742</v>
      </c>
      <c r="F257" s="30">
        <v>0.129</v>
      </c>
      <c r="G257" s="30">
        <v>0.10400000000000001</v>
      </c>
      <c r="H257" s="30">
        <v>10</v>
      </c>
      <c r="I257" s="30" t="s">
        <v>426</v>
      </c>
      <c r="J257" s="22">
        <f t="shared" si="9"/>
        <v>1.1523965905168253E-3</v>
      </c>
      <c r="K257" s="22"/>
    </row>
    <row r="258" spans="1:11" x14ac:dyDescent="0.15">
      <c r="A258" s="30" t="s">
        <v>95</v>
      </c>
      <c r="B258" s="30" t="s">
        <v>925</v>
      </c>
      <c r="C258" s="30">
        <v>31.4</v>
      </c>
      <c r="D258" s="30" t="s">
        <v>437</v>
      </c>
      <c r="E258" s="30" t="s">
        <v>742</v>
      </c>
      <c r="F258" s="30">
        <v>0.34100000000000003</v>
      </c>
      <c r="G258" s="30">
        <v>6.5000000000000002E-2</v>
      </c>
      <c r="H258" s="30">
        <v>31</v>
      </c>
      <c r="I258" s="30" t="s">
        <v>426</v>
      </c>
      <c r="J258" s="22">
        <f t="shared" si="9"/>
        <v>4.2422938975242427E-3</v>
      </c>
      <c r="K258" s="22"/>
    </row>
    <row r="259" spans="1:11" x14ac:dyDescent="0.15">
      <c r="A259" s="30" t="s">
        <v>95</v>
      </c>
      <c r="B259" s="30" t="s">
        <v>925</v>
      </c>
      <c r="C259" s="30">
        <v>31.4</v>
      </c>
      <c r="D259" s="30" t="s">
        <v>438</v>
      </c>
      <c r="E259" s="30" t="s">
        <v>742</v>
      </c>
      <c r="F259" s="30">
        <v>8.1900000000000001E-2</v>
      </c>
      <c r="G259" s="30">
        <v>0.08</v>
      </c>
      <c r="H259" s="30">
        <v>28</v>
      </c>
      <c r="I259" s="30" t="s">
        <v>426</v>
      </c>
      <c r="J259" s="22">
        <f t="shared" si="9"/>
        <v>8.5275245112200609E-4</v>
      </c>
      <c r="K259" s="22"/>
    </row>
    <row r="260" spans="1:11" x14ac:dyDescent="0.15">
      <c r="A260" s="30" t="s">
        <v>95</v>
      </c>
      <c r="B260" s="30" t="s">
        <v>925</v>
      </c>
      <c r="C260" s="30">
        <v>31.4</v>
      </c>
      <c r="D260" s="30" t="s">
        <v>439</v>
      </c>
      <c r="E260" s="30" t="s">
        <v>742</v>
      </c>
      <c r="F260" s="30">
        <v>4.2099999999999999E-2</v>
      </c>
      <c r="G260" s="30">
        <v>0.115</v>
      </c>
      <c r="H260" s="30">
        <v>11</v>
      </c>
      <c r="I260" s="30" t="s">
        <v>426</v>
      </c>
      <c r="J260" s="22">
        <f t="shared" si="9"/>
        <v>3.3901972455411525E-4</v>
      </c>
      <c r="K260" s="22"/>
    </row>
    <row r="261" spans="1:11" x14ac:dyDescent="0.15">
      <c r="A261" s="30" t="s">
        <v>95</v>
      </c>
      <c r="B261" s="30" t="s">
        <v>925</v>
      </c>
      <c r="C261" s="30">
        <v>31.4</v>
      </c>
      <c r="D261" s="30" t="s">
        <v>440</v>
      </c>
      <c r="E261" s="30" t="s">
        <v>743</v>
      </c>
      <c r="F261" s="30">
        <v>6.3E-3</v>
      </c>
      <c r="G261" s="30">
        <v>1.6E-2</v>
      </c>
      <c r="H261" s="30">
        <v>10</v>
      </c>
      <c r="I261" s="30" t="s">
        <v>426</v>
      </c>
      <c r="J261" s="22">
        <f t="shared" si="9"/>
        <v>3.6581891768731781E-4</v>
      </c>
      <c r="K261" s="22"/>
    </row>
    <row r="262" spans="1:11" x14ac:dyDescent="0.15">
      <c r="A262" s="30" t="s">
        <v>95</v>
      </c>
      <c r="B262" s="30" t="s">
        <v>925</v>
      </c>
      <c r="C262" s="30">
        <v>31.4</v>
      </c>
      <c r="D262" s="30" t="s">
        <v>441</v>
      </c>
      <c r="E262" s="30" t="s">
        <v>743</v>
      </c>
      <c r="F262" s="30">
        <v>3.3299999999999996E-2</v>
      </c>
      <c r="G262" s="30">
        <v>3.2000000000000001E-2</v>
      </c>
      <c r="H262" s="30">
        <v>37</v>
      </c>
      <c r="I262" s="30" t="s">
        <v>426</v>
      </c>
      <c r="J262" s="22">
        <f t="shared" si="9"/>
        <v>7.8403780909713577E-4</v>
      </c>
      <c r="K262" s="22"/>
    </row>
    <row r="263" spans="1:11" x14ac:dyDescent="0.15">
      <c r="A263" s="30" t="s">
        <v>95</v>
      </c>
      <c r="B263" s="30" t="s">
        <v>925</v>
      </c>
      <c r="C263" s="30">
        <v>31.4</v>
      </c>
      <c r="D263" s="30" t="s">
        <v>442</v>
      </c>
      <c r="E263" s="30" t="s">
        <v>743</v>
      </c>
      <c r="F263" s="30">
        <v>9.4000000000000004E-3</v>
      </c>
      <c r="G263" s="30">
        <v>1.6E-2</v>
      </c>
      <c r="H263" s="30">
        <v>20</v>
      </c>
      <c r="I263" s="30" t="s">
        <v>426</v>
      </c>
      <c r="J263" s="22">
        <f t="shared" si="9"/>
        <v>5.2082020255822753E-4</v>
      </c>
      <c r="K263" s="22"/>
    </row>
    <row r="264" spans="1:11" x14ac:dyDescent="0.15">
      <c r="A264" s="30" t="s">
        <v>95</v>
      </c>
      <c r="B264" s="30" t="s">
        <v>925</v>
      </c>
      <c r="C264" s="30">
        <v>31.4</v>
      </c>
      <c r="D264" s="30" t="s">
        <v>443</v>
      </c>
      <c r="E264" s="30" t="s">
        <v>743</v>
      </c>
      <c r="F264" s="30">
        <v>1.1900000000000001E-2</v>
      </c>
      <c r="G264" s="30">
        <v>2.7000000000000003E-2</v>
      </c>
      <c r="H264" s="30">
        <v>37</v>
      </c>
      <c r="I264" s="30" t="s">
        <v>426</v>
      </c>
      <c r="J264" s="22">
        <f t="shared" si="9"/>
        <v>3.3206717573594632E-4</v>
      </c>
      <c r="K264" s="22"/>
    </row>
    <row r="265" spans="1:11" x14ac:dyDescent="0.15">
      <c r="A265" s="30" t="s">
        <v>95</v>
      </c>
      <c r="B265" s="30" t="s">
        <v>925</v>
      </c>
      <c r="C265" s="30">
        <v>31.4</v>
      </c>
      <c r="D265" s="30" t="s">
        <v>444</v>
      </c>
      <c r="E265" s="30" t="s">
        <v>743</v>
      </c>
      <c r="F265" s="30">
        <v>3.8E-3</v>
      </c>
      <c r="G265" s="30">
        <v>9.0000000000000011E-3</v>
      </c>
      <c r="H265" s="30">
        <v>41</v>
      </c>
      <c r="I265" s="30" t="s">
        <v>426</v>
      </c>
      <c r="J265" s="22">
        <f t="shared" si="9"/>
        <v>3.0061807178684833E-4</v>
      </c>
      <c r="K265" s="22"/>
    </row>
    <row r="266" spans="1:11" x14ac:dyDescent="0.15">
      <c r="A266" s="30" t="s">
        <v>95</v>
      </c>
      <c r="B266" s="30" t="s">
        <v>925</v>
      </c>
      <c r="C266" s="30">
        <v>31.4</v>
      </c>
      <c r="D266" s="30" t="s">
        <v>445</v>
      </c>
      <c r="E266" s="30" t="s">
        <v>743</v>
      </c>
      <c r="F266" s="30">
        <v>1.95E-2</v>
      </c>
      <c r="G266" s="30">
        <v>2.2000000000000002E-2</v>
      </c>
      <c r="H266" s="30">
        <v>30</v>
      </c>
      <c r="I266" s="30" t="s">
        <v>426</v>
      </c>
      <c r="J266" s="22">
        <f t="shared" si="9"/>
        <v>7.2416360951100135E-4</v>
      </c>
      <c r="K266" s="22"/>
    </row>
    <row r="267" spans="1:11" x14ac:dyDescent="0.15">
      <c r="A267" s="30" t="s">
        <v>95</v>
      </c>
      <c r="B267" s="30" t="s">
        <v>925</v>
      </c>
      <c r="C267" s="30">
        <v>31.4</v>
      </c>
      <c r="D267" s="30" t="s">
        <v>388</v>
      </c>
      <c r="E267" s="30" t="s">
        <v>743</v>
      </c>
      <c r="F267" s="30">
        <v>5.0999999999999995E-3</v>
      </c>
      <c r="G267" s="30">
        <v>1.3000000000000001E-2</v>
      </c>
      <c r="H267" s="30">
        <v>20</v>
      </c>
      <c r="I267" s="30" t="s">
        <v>426</v>
      </c>
      <c r="J267" s="22">
        <f t="shared" si="9"/>
        <v>3.4778173918781802E-4</v>
      </c>
      <c r="K267" s="22"/>
    </row>
    <row r="268" spans="1:11" x14ac:dyDescent="0.15">
      <c r="A268" s="30" t="s">
        <v>95</v>
      </c>
      <c r="B268" s="30" t="s">
        <v>925</v>
      </c>
      <c r="C268" s="30">
        <v>31.4</v>
      </c>
      <c r="D268" s="30" t="s">
        <v>446</v>
      </c>
      <c r="E268" s="30" t="s">
        <v>743</v>
      </c>
      <c r="F268" s="30">
        <v>9.5999999999999992E-3</v>
      </c>
      <c r="G268" s="30">
        <v>2.5000000000000001E-2</v>
      </c>
      <c r="H268" s="30">
        <v>15</v>
      </c>
      <c r="I268" s="30" t="s">
        <v>426</v>
      </c>
      <c r="J268" s="22">
        <f t="shared" si="9"/>
        <v>3.499202993349077E-4</v>
      </c>
      <c r="K268" s="22"/>
    </row>
    <row r="269" spans="1:11" x14ac:dyDescent="0.15">
      <c r="A269" s="30" t="s">
        <v>95</v>
      </c>
      <c r="B269" s="30" t="s">
        <v>925</v>
      </c>
      <c r="C269" s="30">
        <v>31.4</v>
      </c>
      <c r="D269" s="30" t="s">
        <v>380</v>
      </c>
      <c r="E269" s="30" t="s">
        <v>743</v>
      </c>
      <c r="F269" s="30">
        <v>2.64E-2</v>
      </c>
      <c r="G269" s="30">
        <v>1.3000000000000001E-2</v>
      </c>
      <c r="H269" s="30">
        <v>55</v>
      </c>
      <c r="I269" s="30" t="s">
        <v>426</v>
      </c>
      <c r="J269" s="22">
        <f t="shared" si="9"/>
        <v>1.0988692249395949E-3</v>
      </c>
      <c r="K269" s="22"/>
    </row>
    <row r="270" spans="1:11" x14ac:dyDescent="0.15">
      <c r="A270" s="30" t="s">
        <v>95</v>
      </c>
      <c r="B270" s="30" t="s">
        <v>925</v>
      </c>
      <c r="C270" s="30">
        <v>31.4</v>
      </c>
      <c r="D270" s="30" t="s">
        <v>447</v>
      </c>
      <c r="E270" s="30" t="s">
        <v>743</v>
      </c>
      <c r="F270" s="30">
        <v>4.6899999999999997E-2</v>
      </c>
      <c r="G270" s="30">
        <v>1.3000000000000001E-2</v>
      </c>
      <c r="H270" s="30">
        <v>29</v>
      </c>
      <c r="I270" s="30" t="s">
        <v>426</v>
      </c>
      <c r="J270" s="22">
        <f t="shared" si="9"/>
        <v>2.9767535750970719E-3</v>
      </c>
      <c r="K270" s="22"/>
    </row>
    <row r="271" spans="1:11" x14ac:dyDescent="0.15">
      <c r="A271" s="30" t="s">
        <v>95</v>
      </c>
      <c r="B271" s="30" t="s">
        <v>925</v>
      </c>
      <c r="C271" s="30">
        <v>31.4</v>
      </c>
      <c r="D271" s="30" t="s">
        <v>448</v>
      </c>
      <c r="E271" s="30" t="s">
        <v>743</v>
      </c>
      <c r="F271" s="30">
        <v>1.83E-2</v>
      </c>
      <c r="G271" s="30">
        <v>1.2E-2</v>
      </c>
      <c r="H271" s="30">
        <v>41</v>
      </c>
      <c r="I271" s="30" t="s">
        <v>426</v>
      </c>
      <c r="J271" s="22">
        <f t="shared" si="9"/>
        <v>1.0857850092827615E-3</v>
      </c>
      <c r="K271" s="22"/>
    </row>
    <row r="272" spans="1:11" x14ac:dyDescent="0.15">
      <c r="A272" s="33" t="s">
        <v>905</v>
      </c>
      <c r="B272" s="33" t="s">
        <v>925</v>
      </c>
      <c r="C272" s="33">
        <v>3.4540000000000002</v>
      </c>
      <c r="D272" s="8" t="s">
        <v>451</v>
      </c>
      <c r="E272" s="8" t="s">
        <v>742</v>
      </c>
      <c r="F272" s="8">
        <v>4.5300000000000002E-3</v>
      </c>
      <c r="G272" s="8">
        <v>1.9E-2</v>
      </c>
      <c r="H272" s="9">
        <v>28</v>
      </c>
      <c r="I272" s="33" t="s">
        <v>209</v>
      </c>
      <c r="J272" s="22">
        <f t="shared" si="9"/>
        <v>1.9859744764900395E-4</v>
      </c>
      <c r="K272" s="22" t="s">
        <v>360</v>
      </c>
    </row>
    <row r="273" spans="1:11" x14ac:dyDescent="0.15">
      <c r="A273" s="33" t="s">
        <v>905</v>
      </c>
      <c r="B273" s="33" t="s">
        <v>925</v>
      </c>
      <c r="C273" s="33">
        <v>3.4540000000000002</v>
      </c>
      <c r="D273" s="8" t="s">
        <v>452</v>
      </c>
      <c r="E273" s="8" t="s">
        <v>742</v>
      </c>
      <c r="F273" s="8">
        <v>1.3600000000000001E-3</v>
      </c>
      <c r="G273" s="8">
        <v>0.03</v>
      </c>
      <c r="H273" s="9">
        <v>11</v>
      </c>
      <c r="I273" s="33" t="s">
        <v>209</v>
      </c>
      <c r="J273" s="22">
        <f t="shared" si="9"/>
        <v>4.1981539921032183E-5</v>
      </c>
      <c r="K273" s="22"/>
    </row>
    <row r="274" spans="1:11" x14ac:dyDescent="0.15">
      <c r="A274" s="33" t="s">
        <v>905</v>
      </c>
      <c r="B274" s="33" t="s">
        <v>925</v>
      </c>
      <c r="C274" s="33">
        <v>3.4540000000000002</v>
      </c>
      <c r="D274" s="33" t="s">
        <v>453</v>
      </c>
      <c r="E274" s="33" t="s">
        <v>742</v>
      </c>
      <c r="F274" s="8">
        <v>7.0800000000000004E-3</v>
      </c>
      <c r="G274" s="8">
        <v>0.151</v>
      </c>
      <c r="H274" s="9">
        <v>0</v>
      </c>
      <c r="I274" s="33" t="s">
        <v>209</v>
      </c>
      <c r="J274" s="22">
        <f t="shared" si="9"/>
        <v>4.4233412470323631E-5</v>
      </c>
      <c r="K274" s="22"/>
    </row>
    <row r="275" spans="1:11" x14ac:dyDescent="0.15">
      <c r="A275" s="33" t="s">
        <v>905</v>
      </c>
      <c r="B275" s="33" t="s">
        <v>925</v>
      </c>
      <c r="C275" s="33">
        <v>3.4540000000000002</v>
      </c>
      <c r="D275" s="33" t="s">
        <v>454</v>
      </c>
      <c r="E275" s="33" t="s">
        <v>742</v>
      </c>
      <c r="F275" s="8">
        <v>7.2999999999999996E-4</v>
      </c>
      <c r="G275" s="8">
        <v>8.0000000000000002E-3</v>
      </c>
      <c r="H275" s="9">
        <v>33</v>
      </c>
      <c r="I275" s="33" t="s">
        <v>209</v>
      </c>
      <c r="J275" s="22">
        <f t="shared" si="9"/>
        <v>7.2196876721716924E-5</v>
      </c>
      <c r="K275" s="22"/>
    </row>
    <row r="276" spans="1:11" x14ac:dyDescent="0.15">
      <c r="A276" s="33" t="s">
        <v>905</v>
      </c>
      <c r="B276" s="33" t="s">
        <v>925</v>
      </c>
      <c r="C276" s="33">
        <v>3.4540000000000002</v>
      </c>
      <c r="D276" s="33" t="s">
        <v>455</v>
      </c>
      <c r="E276" s="33" t="s">
        <v>742</v>
      </c>
      <c r="F276" s="8">
        <v>1.5100000000000001E-3</v>
      </c>
      <c r="G276" s="8">
        <v>1.4999999999999999E-2</v>
      </c>
      <c r="H276" s="9">
        <v>8</v>
      </c>
      <c r="I276" s="33" t="s">
        <v>209</v>
      </c>
      <c r="J276" s="22">
        <f t="shared" si="9"/>
        <v>9.4044326025142846E-5</v>
      </c>
      <c r="K276" s="22"/>
    </row>
    <row r="277" spans="1:11" x14ac:dyDescent="0.15">
      <c r="A277" s="33" t="s">
        <v>905</v>
      </c>
      <c r="B277" s="33" t="s">
        <v>925</v>
      </c>
      <c r="C277" s="33">
        <v>3.4540000000000002</v>
      </c>
      <c r="D277" s="33" t="s">
        <v>468</v>
      </c>
      <c r="E277" s="33" t="s">
        <v>742</v>
      </c>
      <c r="F277" s="8">
        <v>8.1700000000000002E-3</v>
      </c>
      <c r="G277" s="8">
        <v>2.1000000000000001E-2</v>
      </c>
      <c r="H277" s="9">
        <v>28</v>
      </c>
      <c r="I277" s="33" t="s">
        <v>209</v>
      </c>
      <c r="J277" s="22">
        <f t="shared" si="9"/>
        <v>3.2406477240150191E-4</v>
      </c>
      <c r="K277" s="22"/>
    </row>
    <row r="278" spans="1:11" x14ac:dyDescent="0.15">
      <c r="A278" s="33" t="s">
        <v>905</v>
      </c>
      <c r="B278" s="33" t="s">
        <v>925</v>
      </c>
      <c r="C278" s="33">
        <v>3.4540000000000002</v>
      </c>
      <c r="D278" s="33" t="s">
        <v>469</v>
      </c>
      <c r="E278" s="33" t="s">
        <v>742</v>
      </c>
      <c r="F278" s="8">
        <v>1.3899999999999999E-2</v>
      </c>
      <c r="G278" s="8">
        <v>0.13900000000000001</v>
      </c>
      <c r="H278" s="9">
        <v>0</v>
      </c>
      <c r="I278" s="33" t="s">
        <v>209</v>
      </c>
      <c r="J278" s="22">
        <f t="shared" si="9"/>
        <v>9.4339622641509429E-5</v>
      </c>
      <c r="K278" s="22"/>
    </row>
    <row r="279" spans="1:11" x14ac:dyDescent="0.15">
      <c r="A279" s="33" t="s">
        <v>905</v>
      </c>
      <c r="B279" s="33" t="s">
        <v>925</v>
      </c>
      <c r="C279" s="33">
        <v>3.4540000000000002</v>
      </c>
      <c r="D279" s="33" t="s">
        <v>470</v>
      </c>
      <c r="E279" s="33" t="s">
        <v>742</v>
      </c>
      <c r="F279" s="8">
        <v>6.6400000000000001E-3</v>
      </c>
      <c r="G279" s="8">
        <v>1.2E-2</v>
      </c>
      <c r="H279" s="9">
        <v>0</v>
      </c>
      <c r="I279" s="33" t="s">
        <v>209</v>
      </c>
      <c r="J279" s="22">
        <f t="shared" si="9"/>
        <v>5.2201257861635218E-4</v>
      </c>
      <c r="K279" s="22"/>
    </row>
    <row r="280" spans="1:11" x14ac:dyDescent="0.15">
      <c r="A280" s="33" t="s">
        <v>905</v>
      </c>
      <c r="B280" s="33" t="s">
        <v>925</v>
      </c>
      <c r="C280" s="33">
        <v>3.4540000000000002</v>
      </c>
      <c r="D280" s="33" t="s">
        <v>471</v>
      </c>
      <c r="E280" s="33" t="s">
        <v>742</v>
      </c>
      <c r="F280" s="8">
        <v>6.94E-3</v>
      </c>
      <c r="G280" s="8">
        <v>4.4999999999999998E-2</v>
      </c>
      <c r="H280" s="9">
        <v>0</v>
      </c>
      <c r="I280" s="33" t="s">
        <v>209</v>
      </c>
      <c r="J280" s="22">
        <f t="shared" si="9"/>
        <v>1.4549266247379457E-4</v>
      </c>
      <c r="K280" s="22"/>
    </row>
    <row r="281" spans="1:11" x14ac:dyDescent="0.15">
      <c r="A281" s="33" t="s">
        <v>905</v>
      </c>
      <c r="B281" s="33" t="s">
        <v>925</v>
      </c>
      <c r="C281" s="33">
        <v>3.4540000000000002</v>
      </c>
      <c r="D281" s="33" t="s">
        <v>472</v>
      </c>
      <c r="E281" s="33" t="s">
        <v>742</v>
      </c>
      <c r="F281" s="8">
        <v>1.5900000000000001E-2</v>
      </c>
      <c r="G281" s="8">
        <v>0.123</v>
      </c>
      <c r="H281" s="9">
        <v>0</v>
      </c>
      <c r="I281" s="33" t="s">
        <v>209</v>
      </c>
      <c r="J281" s="22">
        <f t="shared" si="9"/>
        <v>1.2195121951219514E-4</v>
      </c>
      <c r="K281" s="22"/>
    </row>
    <row r="282" spans="1:11" x14ac:dyDescent="0.15">
      <c r="A282" s="33" t="s">
        <v>905</v>
      </c>
      <c r="B282" s="33" t="s">
        <v>925</v>
      </c>
      <c r="C282" s="33">
        <v>3.4540000000000002</v>
      </c>
      <c r="D282" s="33" t="s">
        <v>473</v>
      </c>
      <c r="E282" s="33" t="s">
        <v>742</v>
      </c>
      <c r="F282" s="8">
        <v>7.8799999999999999E-3</v>
      </c>
      <c r="G282" s="8">
        <v>0.01</v>
      </c>
      <c r="H282" s="9">
        <v>33</v>
      </c>
      <c r="I282" s="33" t="s">
        <v>209</v>
      </c>
      <c r="J282" s="22">
        <f t="shared" si="9"/>
        <v>6.2346453541603215E-4</v>
      </c>
      <c r="K282" s="22"/>
    </row>
    <row r="283" spans="1:11" x14ac:dyDescent="0.15">
      <c r="A283" s="33" t="s">
        <v>905</v>
      </c>
      <c r="B283" s="33" t="s">
        <v>925</v>
      </c>
      <c r="C283" s="33">
        <v>3.4540000000000002</v>
      </c>
      <c r="D283" s="33" t="s">
        <v>474</v>
      </c>
      <c r="E283" s="33" t="s">
        <v>742</v>
      </c>
      <c r="F283" s="8">
        <v>1.3299999999999999E-2</v>
      </c>
      <c r="G283" s="8">
        <v>3.5000000000000003E-2</v>
      </c>
      <c r="H283" s="9">
        <v>28</v>
      </c>
      <c r="I283" s="33" t="s">
        <v>209</v>
      </c>
      <c r="J283" s="22">
        <f t="shared" si="9"/>
        <v>3.1652838234565308E-4</v>
      </c>
      <c r="K283" s="22"/>
    </row>
    <row r="284" spans="1:11" x14ac:dyDescent="0.15">
      <c r="A284" s="33" t="s">
        <v>905</v>
      </c>
      <c r="B284" s="33" t="s">
        <v>925</v>
      </c>
      <c r="C284" s="33">
        <v>3.4540000000000002</v>
      </c>
      <c r="D284" s="33" t="s">
        <v>475</v>
      </c>
      <c r="E284" s="33" t="s">
        <v>742</v>
      </c>
      <c r="F284" s="8">
        <v>8.2400000000000008E-3</v>
      </c>
      <c r="G284" s="8">
        <v>2.9000000000000001E-2</v>
      </c>
      <c r="H284" s="9">
        <v>27</v>
      </c>
      <c r="I284" s="33" t="s">
        <v>209</v>
      </c>
      <c r="J284" s="22">
        <f t="shared" si="9"/>
        <v>2.3883844369915915E-4</v>
      </c>
      <c r="K284" s="22"/>
    </row>
    <row r="285" spans="1:11" x14ac:dyDescent="0.15">
      <c r="A285" s="33" t="s">
        <v>905</v>
      </c>
      <c r="B285" s="33" t="s">
        <v>925</v>
      </c>
      <c r="C285" s="33">
        <v>3.4540000000000002</v>
      </c>
      <c r="D285" s="33" t="s">
        <v>476</v>
      </c>
      <c r="E285" s="33" t="s">
        <v>742</v>
      </c>
      <c r="F285" s="8">
        <v>1.6500000000000001E-2</v>
      </c>
      <c r="G285" s="8">
        <v>0.02</v>
      </c>
      <c r="H285" s="9">
        <v>34</v>
      </c>
      <c r="I285" s="33" t="s">
        <v>209</v>
      </c>
      <c r="J285" s="22">
        <f t="shared" si="9"/>
        <v>6.4524150694142391E-4</v>
      </c>
      <c r="K285" s="22"/>
    </row>
    <row r="286" spans="1:11" x14ac:dyDescent="0.15">
      <c r="A286" s="33" t="s">
        <v>905</v>
      </c>
      <c r="B286" s="33" t="s">
        <v>925</v>
      </c>
      <c r="C286" s="33">
        <v>3.4540000000000002</v>
      </c>
      <c r="D286" s="33" t="s">
        <v>477</v>
      </c>
      <c r="E286" s="33" t="s">
        <v>742</v>
      </c>
      <c r="F286" s="8">
        <v>2.32E-3</v>
      </c>
      <c r="G286" s="8">
        <v>1.9E-2</v>
      </c>
      <c r="H286" s="9">
        <v>26</v>
      </c>
      <c r="I286" s="33" t="s">
        <v>209</v>
      </c>
      <c r="J286" s="22">
        <f t="shared" si="9"/>
        <v>1.0353536183783852E-4</v>
      </c>
      <c r="K286" s="22"/>
    </row>
    <row r="287" spans="1:11" x14ac:dyDescent="0.15">
      <c r="A287" s="33" t="s">
        <v>905</v>
      </c>
      <c r="B287" s="33" t="s">
        <v>925</v>
      </c>
      <c r="C287" s="33">
        <v>3.4540000000000002</v>
      </c>
      <c r="D287" s="33" t="s">
        <v>478</v>
      </c>
      <c r="E287" s="33" t="s">
        <v>742</v>
      </c>
      <c r="F287" s="8">
        <v>9.5099999999999994E-3</v>
      </c>
      <c r="G287" s="8">
        <v>5.1999999999999998E-2</v>
      </c>
      <c r="H287" s="9">
        <v>0</v>
      </c>
      <c r="I287" s="33" t="s">
        <v>209</v>
      </c>
      <c r="J287" s="22">
        <f t="shared" si="9"/>
        <v>1.7253265602322205E-4</v>
      </c>
      <c r="K287" s="22"/>
    </row>
    <row r="288" spans="1:11" x14ac:dyDescent="0.15">
      <c r="A288" s="33" t="s">
        <v>905</v>
      </c>
      <c r="B288" s="33" t="s">
        <v>925</v>
      </c>
      <c r="C288" s="33">
        <v>3.4540000000000002</v>
      </c>
      <c r="D288" s="33" t="s">
        <v>449</v>
      </c>
      <c r="E288" s="33" t="s">
        <v>743</v>
      </c>
      <c r="F288" s="33">
        <v>7.2000000000000005E-4</v>
      </c>
      <c r="G288" s="33">
        <v>7.0000000000000001E-3</v>
      </c>
      <c r="H288" s="33">
        <v>33</v>
      </c>
      <c r="I288" s="33" t="s">
        <v>209</v>
      </c>
      <c r="J288" s="22">
        <f>F288*COS(RADIANS(H288))/(1060*G288)</f>
        <v>8.1380432469097748E-5</v>
      </c>
    </row>
    <row r="289" spans="1:11" x14ac:dyDescent="0.15">
      <c r="A289" s="33" t="s">
        <v>905</v>
      </c>
      <c r="B289" s="33" t="s">
        <v>925</v>
      </c>
      <c r="C289" s="33">
        <v>3.4540000000000002</v>
      </c>
      <c r="D289" s="33" t="s">
        <v>450</v>
      </c>
      <c r="E289" s="33" t="s">
        <v>743</v>
      </c>
      <c r="F289" s="8">
        <v>2.3000000000000001E-4</v>
      </c>
      <c r="G289" s="8">
        <v>5.0000000000000001E-3</v>
      </c>
      <c r="H289" s="9">
        <v>28</v>
      </c>
      <c r="I289" s="33" t="s">
        <v>209</v>
      </c>
      <c r="J289" s="22">
        <f t="shared" ref="J289:J303" si="10">F289*COS(RADIANS(H289))/(1060*G289)</f>
        <v>3.8316593652368532E-5</v>
      </c>
      <c r="K289" s="22"/>
    </row>
    <row r="290" spans="1:11" x14ac:dyDescent="0.15">
      <c r="A290" s="33" t="s">
        <v>905</v>
      </c>
      <c r="B290" s="33" t="s">
        <v>925</v>
      </c>
      <c r="C290" s="33">
        <v>3.4540000000000002</v>
      </c>
      <c r="D290" s="33" t="s">
        <v>456</v>
      </c>
      <c r="E290" s="33" t="s">
        <v>743</v>
      </c>
      <c r="F290" s="8">
        <v>1.5399999999999999E-3</v>
      </c>
      <c r="G290" s="8">
        <v>2.4E-2</v>
      </c>
      <c r="H290" s="9">
        <v>9</v>
      </c>
      <c r="I290" s="33" t="s">
        <v>209</v>
      </c>
      <c r="J290" s="22">
        <f t="shared" si="10"/>
        <v>5.9789309925963521E-5</v>
      </c>
      <c r="K290" s="22"/>
    </row>
    <row r="291" spans="1:11" x14ac:dyDescent="0.15">
      <c r="A291" s="33" t="s">
        <v>905</v>
      </c>
      <c r="B291" s="33" t="s">
        <v>925</v>
      </c>
      <c r="C291" s="33">
        <v>3.4540000000000002</v>
      </c>
      <c r="D291" s="33" t="s">
        <v>457</v>
      </c>
      <c r="E291" s="33" t="s">
        <v>743</v>
      </c>
      <c r="F291" s="8">
        <v>1.6000000000000001E-4</v>
      </c>
      <c r="G291" s="8">
        <v>3.0000000000000001E-3</v>
      </c>
      <c r="H291" s="9">
        <v>27</v>
      </c>
      <c r="I291" s="33" t="s">
        <v>209</v>
      </c>
      <c r="J291" s="22">
        <f t="shared" si="10"/>
        <v>4.483051694029524E-5</v>
      </c>
      <c r="K291" s="22"/>
    </row>
    <row r="292" spans="1:11" x14ac:dyDescent="0.15">
      <c r="A292" s="33" t="s">
        <v>905</v>
      </c>
      <c r="B292" s="33" t="s">
        <v>925</v>
      </c>
      <c r="C292" s="33">
        <v>3.4540000000000002</v>
      </c>
      <c r="D292" s="33" t="s">
        <v>458</v>
      </c>
      <c r="E292" s="33" t="s">
        <v>743</v>
      </c>
      <c r="F292" s="8">
        <v>1.1000000000000001E-3</v>
      </c>
      <c r="G292" s="8">
        <v>1.4E-2</v>
      </c>
      <c r="H292" s="9">
        <v>12</v>
      </c>
      <c r="I292" s="33" t="s">
        <v>209</v>
      </c>
      <c r="J292" s="22">
        <f t="shared" si="10"/>
        <v>7.250420221072685E-5</v>
      </c>
      <c r="K292" s="22"/>
    </row>
    <row r="293" spans="1:11" x14ac:dyDescent="0.15">
      <c r="A293" s="33" t="s">
        <v>905</v>
      </c>
      <c r="B293" s="33" t="s">
        <v>925</v>
      </c>
      <c r="C293" s="33">
        <v>3.4540000000000002</v>
      </c>
      <c r="D293" s="33" t="s">
        <v>459</v>
      </c>
      <c r="E293" s="33" t="s">
        <v>743</v>
      </c>
      <c r="F293" s="8">
        <v>3.3E-4</v>
      </c>
      <c r="G293" s="8">
        <v>7.0000000000000001E-3</v>
      </c>
      <c r="H293" s="9">
        <v>18</v>
      </c>
      <c r="I293" s="33" t="s">
        <v>209</v>
      </c>
      <c r="J293" s="22">
        <f t="shared" si="10"/>
        <v>4.2297661775930013E-5</v>
      </c>
      <c r="K293" s="22"/>
    </row>
    <row r="294" spans="1:11" x14ac:dyDescent="0.15">
      <c r="A294" s="33" t="s">
        <v>905</v>
      </c>
      <c r="B294" s="33" t="s">
        <v>925</v>
      </c>
      <c r="C294" s="33">
        <v>3.4540000000000002</v>
      </c>
      <c r="D294" s="33" t="s">
        <v>460</v>
      </c>
      <c r="E294" s="33" t="s">
        <v>743</v>
      </c>
      <c r="F294" s="8">
        <v>2.9E-4</v>
      </c>
      <c r="G294" s="8">
        <v>7.0000000000000001E-3</v>
      </c>
      <c r="H294" s="9">
        <v>28</v>
      </c>
      <c r="I294" s="33" t="s">
        <v>209</v>
      </c>
      <c r="J294" s="22">
        <f t="shared" si="10"/>
        <v>3.4508733413623828E-5</v>
      </c>
      <c r="K294" s="22"/>
    </row>
    <row r="295" spans="1:11" x14ac:dyDescent="0.15">
      <c r="A295" s="33" t="s">
        <v>905</v>
      </c>
      <c r="B295" s="33" t="s">
        <v>925</v>
      </c>
      <c r="C295" s="33">
        <v>3.4540000000000002</v>
      </c>
      <c r="D295" s="33" t="s">
        <v>461</v>
      </c>
      <c r="E295" s="33" t="s">
        <v>743</v>
      </c>
      <c r="F295" s="8">
        <v>4.4999999999999999E-4</v>
      </c>
      <c r="G295" s="8">
        <v>7.0000000000000001E-3</v>
      </c>
      <c r="H295" s="9">
        <v>27</v>
      </c>
      <c r="I295" s="33" t="s">
        <v>209</v>
      </c>
      <c r="J295" s="22">
        <f t="shared" si="10"/>
        <v>5.4036783811963016E-5</v>
      </c>
      <c r="K295" s="22"/>
    </row>
    <row r="296" spans="1:11" x14ac:dyDescent="0.15">
      <c r="A296" s="33" t="s">
        <v>905</v>
      </c>
      <c r="B296" s="33" t="s">
        <v>925</v>
      </c>
      <c r="C296" s="33">
        <v>3.4540000000000002</v>
      </c>
      <c r="D296" s="33" t="s">
        <v>462</v>
      </c>
      <c r="E296" s="33" t="s">
        <v>743</v>
      </c>
      <c r="F296" s="8">
        <v>1.2700000000000001E-3</v>
      </c>
      <c r="G296" s="8">
        <v>3.5000000000000003E-2</v>
      </c>
      <c r="H296" s="9">
        <v>35</v>
      </c>
      <c r="I296" s="33" t="s">
        <v>209</v>
      </c>
      <c r="J296" s="22">
        <f t="shared" si="10"/>
        <v>2.8041053807197292E-5</v>
      </c>
      <c r="K296" s="22"/>
    </row>
    <row r="297" spans="1:11" x14ac:dyDescent="0.15">
      <c r="A297" s="33" t="s">
        <v>905</v>
      </c>
      <c r="B297" s="33" t="s">
        <v>925</v>
      </c>
      <c r="C297" s="33">
        <v>3.4540000000000002</v>
      </c>
      <c r="D297" s="33" t="s">
        <v>463</v>
      </c>
      <c r="E297" s="33" t="s">
        <v>743</v>
      </c>
      <c r="F297" s="8">
        <v>1.4400000000000001E-3</v>
      </c>
      <c r="G297" s="8">
        <v>7.0000000000000001E-3</v>
      </c>
      <c r="H297" s="9">
        <v>31</v>
      </c>
      <c r="I297" s="33" t="s">
        <v>209</v>
      </c>
      <c r="J297" s="22">
        <f t="shared" si="10"/>
        <v>1.6635052735997869E-4</v>
      </c>
      <c r="K297" s="22"/>
    </row>
    <row r="298" spans="1:11" x14ac:dyDescent="0.15">
      <c r="A298" s="33" t="s">
        <v>905</v>
      </c>
      <c r="B298" s="33" t="s">
        <v>925</v>
      </c>
      <c r="C298" s="33">
        <v>3.4540000000000002</v>
      </c>
      <c r="D298" s="33" t="s">
        <v>464</v>
      </c>
      <c r="E298" s="33" t="s">
        <v>743</v>
      </c>
      <c r="F298" s="8">
        <v>4.8999999999999998E-4</v>
      </c>
      <c r="G298" s="8">
        <v>0.01</v>
      </c>
      <c r="H298" s="9">
        <v>26</v>
      </c>
      <c r="I298" s="33" t="s">
        <v>209</v>
      </c>
      <c r="J298" s="22">
        <f t="shared" si="10"/>
        <v>4.1548026668546402E-5</v>
      </c>
      <c r="K298" s="22"/>
    </row>
    <row r="299" spans="1:11" x14ac:dyDescent="0.15">
      <c r="A299" s="33" t="s">
        <v>905</v>
      </c>
      <c r="B299" s="33" t="s">
        <v>925</v>
      </c>
      <c r="C299" s="33">
        <v>3.4540000000000002</v>
      </c>
      <c r="D299" s="33" t="s">
        <v>465</v>
      </c>
      <c r="E299" s="33" t="s">
        <v>743</v>
      </c>
      <c r="F299" s="8">
        <v>1.2700000000000001E-3</v>
      </c>
      <c r="G299" s="8">
        <v>1.2999999999999999E-2</v>
      </c>
      <c r="H299" s="9">
        <v>27</v>
      </c>
      <c r="I299" s="33" t="s">
        <v>209</v>
      </c>
      <c r="J299" s="22">
        <f t="shared" si="10"/>
        <v>8.2117437280060035E-5</v>
      </c>
      <c r="K299" s="22"/>
    </row>
    <row r="300" spans="1:11" x14ac:dyDescent="0.15">
      <c r="A300" s="33" t="s">
        <v>905</v>
      </c>
      <c r="B300" s="33" t="s">
        <v>925</v>
      </c>
      <c r="C300" s="33">
        <v>3.4540000000000002</v>
      </c>
      <c r="D300" s="33" t="s">
        <v>466</v>
      </c>
      <c r="E300" s="33" t="s">
        <v>743</v>
      </c>
      <c r="F300" s="8">
        <v>6.2E-4</v>
      </c>
      <c r="G300" s="8">
        <v>1.2999999999999999E-2</v>
      </c>
      <c r="H300" s="9">
        <v>23</v>
      </c>
      <c r="I300" s="33" t="s">
        <v>209</v>
      </c>
      <c r="J300" s="22">
        <f t="shared" si="10"/>
        <v>4.1416038399166406E-5</v>
      </c>
      <c r="K300" s="22"/>
    </row>
    <row r="301" spans="1:11" x14ac:dyDescent="0.15">
      <c r="A301" s="33" t="s">
        <v>905</v>
      </c>
      <c r="B301" s="33" t="s">
        <v>925</v>
      </c>
      <c r="C301" s="33">
        <v>3.4540000000000002</v>
      </c>
      <c r="D301" s="33" t="s">
        <v>467</v>
      </c>
      <c r="E301" s="33" t="s">
        <v>743</v>
      </c>
      <c r="F301" s="8">
        <v>2.0400000000000001E-3</v>
      </c>
      <c r="G301" s="8">
        <v>6.0000000000000001E-3</v>
      </c>
      <c r="H301" s="9">
        <v>31</v>
      </c>
      <c r="I301" s="33" t="s">
        <v>209</v>
      </c>
      <c r="J301" s="22">
        <f t="shared" si="10"/>
        <v>2.74940454942187E-4</v>
      </c>
      <c r="K301" s="22"/>
    </row>
    <row r="302" spans="1:11" x14ac:dyDescent="0.15">
      <c r="A302" s="37" t="s">
        <v>479</v>
      </c>
      <c r="B302" s="37" t="s">
        <v>925</v>
      </c>
      <c r="C302" s="37">
        <v>0.1062</v>
      </c>
      <c r="D302" s="37" t="s">
        <v>480</v>
      </c>
      <c r="E302" s="37" t="s">
        <v>742</v>
      </c>
      <c r="F302" s="38">
        <v>5.9999999999999995E-4</v>
      </c>
      <c r="G302" s="38">
        <v>5.2299999999999999E-2</v>
      </c>
      <c r="H302" s="39">
        <v>0</v>
      </c>
      <c r="I302" s="37" t="s">
        <v>481</v>
      </c>
      <c r="J302" s="22">
        <f t="shared" si="10"/>
        <v>1.0822901259064179E-5</v>
      </c>
      <c r="K302" s="22" t="s">
        <v>360</v>
      </c>
    </row>
    <row r="303" spans="1:11" x14ac:dyDescent="0.15">
      <c r="A303" s="37" t="s">
        <v>479</v>
      </c>
      <c r="B303" s="37" t="s">
        <v>925</v>
      </c>
      <c r="C303" s="37">
        <v>0.1062</v>
      </c>
      <c r="D303" s="37" t="s">
        <v>482</v>
      </c>
      <c r="E303" s="37" t="s">
        <v>742</v>
      </c>
      <c r="F303" s="38">
        <v>1.9399999999999999E-3</v>
      </c>
      <c r="G303" s="38">
        <v>2.3399999999999997E-2</v>
      </c>
      <c r="H303" s="39">
        <v>17</v>
      </c>
      <c r="I303" s="37" t="s">
        <v>481</v>
      </c>
      <c r="J303" s="22">
        <f t="shared" si="10"/>
        <v>7.4795646934699595E-5</v>
      </c>
      <c r="K303" s="22"/>
    </row>
    <row r="304" spans="1:11" x14ac:dyDescent="0.15">
      <c r="A304" s="37" t="s">
        <v>479</v>
      </c>
      <c r="B304" s="37" t="s">
        <v>925</v>
      </c>
      <c r="C304" s="37">
        <v>0.1062</v>
      </c>
      <c r="D304" s="37" t="s">
        <v>483</v>
      </c>
      <c r="E304" s="37" t="s">
        <v>742</v>
      </c>
      <c r="F304" s="38">
        <v>1.2999999999999999E-3</v>
      </c>
      <c r="G304" s="38">
        <v>2.3100000000000002E-2</v>
      </c>
      <c r="H304" s="39">
        <v>0</v>
      </c>
      <c r="I304" s="37" t="s">
        <v>481</v>
      </c>
      <c r="J304" s="22">
        <f t="shared" ref="J304:J327" si="11">F304*COS(RADIANS(H304))/(1060*G304)</f>
        <v>5.3091562525524781E-5</v>
      </c>
      <c r="K304" s="22"/>
    </row>
    <row r="305" spans="1:12" x14ac:dyDescent="0.15">
      <c r="A305" s="37" t="s">
        <v>479</v>
      </c>
      <c r="B305" s="37" t="s">
        <v>925</v>
      </c>
      <c r="C305" s="37">
        <v>0.1062</v>
      </c>
      <c r="D305" s="37" t="s">
        <v>484</v>
      </c>
      <c r="E305" s="37" t="s">
        <v>742</v>
      </c>
      <c r="F305" s="38">
        <v>5.6000000000000006E-4</v>
      </c>
      <c r="G305" s="38">
        <v>2.1299999999999999E-2</v>
      </c>
      <c r="H305" s="39">
        <v>13</v>
      </c>
      <c r="I305" s="37" t="s">
        <v>481</v>
      </c>
      <c r="J305" s="22">
        <f t="shared" si="11"/>
        <v>2.4167208622541051E-5</v>
      </c>
      <c r="K305" s="22"/>
    </row>
    <row r="306" spans="1:12" x14ac:dyDescent="0.15">
      <c r="A306" s="37" t="s">
        <v>479</v>
      </c>
      <c r="B306" s="37" t="s">
        <v>925</v>
      </c>
      <c r="C306" s="37">
        <v>0.1062</v>
      </c>
      <c r="D306" s="37" t="s">
        <v>485</v>
      </c>
      <c r="E306" s="37" t="s">
        <v>742</v>
      </c>
      <c r="F306" s="38">
        <v>2.2000000000000001E-4</v>
      </c>
      <c r="G306" s="38">
        <v>1.7299999999999999E-2</v>
      </c>
      <c r="H306" s="39">
        <v>0</v>
      </c>
      <c r="I306" s="37" t="s">
        <v>481</v>
      </c>
      <c r="J306" s="22">
        <f t="shared" si="11"/>
        <v>1.1996946231868252E-5</v>
      </c>
      <c r="K306" s="22"/>
    </row>
    <row r="307" spans="1:12" x14ac:dyDescent="0.15">
      <c r="A307" s="37" t="s">
        <v>479</v>
      </c>
      <c r="B307" s="37" t="s">
        <v>925</v>
      </c>
      <c r="C307" s="37">
        <v>0.1062</v>
      </c>
      <c r="D307" s="37" t="s">
        <v>468</v>
      </c>
      <c r="E307" s="37" t="s">
        <v>742</v>
      </c>
      <c r="F307" s="38">
        <v>2.9999999999999997E-5</v>
      </c>
      <c r="G307" s="38">
        <v>2.3E-3</v>
      </c>
      <c r="H307" s="39">
        <v>5</v>
      </c>
      <c r="I307" s="37" t="s">
        <v>481</v>
      </c>
      <c r="J307" s="22">
        <f t="shared" si="11"/>
        <v>1.2258343290710566E-5</v>
      </c>
      <c r="K307" s="22"/>
    </row>
    <row r="308" spans="1:12" x14ac:dyDescent="0.15">
      <c r="A308" s="37" t="s">
        <v>479</v>
      </c>
      <c r="B308" s="37" t="s">
        <v>925</v>
      </c>
      <c r="C308" s="37">
        <v>0.1062</v>
      </c>
      <c r="D308" s="37" t="s">
        <v>474</v>
      </c>
      <c r="E308" s="37" t="s">
        <v>742</v>
      </c>
      <c r="F308" s="38">
        <v>4.0000000000000003E-5</v>
      </c>
      <c r="G308" s="38">
        <v>2.1000000000000003E-3</v>
      </c>
      <c r="H308" s="39">
        <v>6</v>
      </c>
      <c r="I308" s="37" t="s">
        <v>481</v>
      </c>
      <c r="J308" s="22">
        <f t="shared" si="11"/>
        <v>1.7871013393859358E-5</v>
      </c>
      <c r="K308" s="22"/>
    </row>
    <row r="309" spans="1:12" x14ac:dyDescent="0.15">
      <c r="A309" s="37" t="s">
        <v>479</v>
      </c>
      <c r="B309" s="37" t="s">
        <v>925</v>
      </c>
      <c r="C309" s="37">
        <v>0.1062</v>
      </c>
      <c r="D309" s="37" t="s">
        <v>486</v>
      </c>
      <c r="E309" s="37" t="s">
        <v>742</v>
      </c>
      <c r="F309" s="38">
        <v>3.8999999999999999E-4</v>
      </c>
      <c r="G309" s="38">
        <v>1.2999999999999999E-2</v>
      </c>
      <c r="H309" s="39">
        <v>0</v>
      </c>
      <c r="I309" s="37" t="s">
        <v>481</v>
      </c>
      <c r="J309" s="22">
        <f t="shared" si="11"/>
        <v>2.830188679245283E-5</v>
      </c>
      <c r="K309" s="22"/>
    </row>
    <row r="310" spans="1:12" x14ac:dyDescent="0.15">
      <c r="A310" s="37" t="s">
        <v>479</v>
      </c>
      <c r="B310" s="37" t="s">
        <v>925</v>
      </c>
      <c r="C310" s="37">
        <v>0.1062</v>
      </c>
      <c r="D310" s="37" t="s">
        <v>487</v>
      </c>
      <c r="E310" s="37" t="s">
        <v>742</v>
      </c>
      <c r="F310" s="38">
        <v>5.9999999999999995E-5</v>
      </c>
      <c r="G310" s="38">
        <v>8.0999999999999996E-3</v>
      </c>
      <c r="H310" s="39">
        <v>0</v>
      </c>
      <c r="I310" s="37" t="s">
        <v>481</v>
      </c>
      <c r="J310" s="22">
        <f t="shared" si="11"/>
        <v>6.9881201956673643E-6</v>
      </c>
      <c r="K310" s="22"/>
    </row>
    <row r="311" spans="1:12" x14ac:dyDescent="0.15">
      <c r="A311" s="37" t="s">
        <v>479</v>
      </c>
      <c r="B311" s="37" t="s">
        <v>925</v>
      </c>
      <c r="C311" s="37">
        <v>0.1062</v>
      </c>
      <c r="D311" s="37" t="s">
        <v>488</v>
      </c>
      <c r="E311" s="37" t="s">
        <v>742</v>
      </c>
      <c r="F311" s="38">
        <v>2.9E-4</v>
      </c>
      <c r="G311" s="38">
        <v>1.67E-2</v>
      </c>
      <c r="H311" s="39">
        <v>0</v>
      </c>
      <c r="I311" s="37" t="s">
        <v>481</v>
      </c>
      <c r="J311" s="22">
        <f t="shared" si="11"/>
        <v>1.6382329680262118E-5</v>
      </c>
      <c r="K311" s="22"/>
    </row>
    <row r="312" spans="1:12" x14ac:dyDescent="0.15">
      <c r="A312" s="37" t="s">
        <v>479</v>
      </c>
      <c r="B312" s="37" t="s">
        <v>925</v>
      </c>
      <c r="C312" s="37">
        <v>0.1062</v>
      </c>
      <c r="D312" s="37" t="s">
        <v>489</v>
      </c>
      <c r="E312" s="37" t="s">
        <v>742</v>
      </c>
      <c r="F312" s="38">
        <v>1.4000000000000001E-4</v>
      </c>
      <c r="G312" s="38">
        <v>9.8000000000000014E-3</v>
      </c>
      <c r="H312" s="39">
        <v>0</v>
      </c>
      <c r="I312" s="37" t="s">
        <v>481</v>
      </c>
      <c r="J312" s="22">
        <f t="shared" si="11"/>
        <v>1.3477088948787062E-5</v>
      </c>
      <c r="K312" s="22"/>
    </row>
    <row r="313" spans="1:12" x14ac:dyDescent="0.15">
      <c r="A313" s="37" t="s">
        <v>479</v>
      </c>
      <c r="B313" s="37" t="s">
        <v>925</v>
      </c>
      <c r="C313" s="37">
        <v>0.1062</v>
      </c>
      <c r="D313" s="37" t="s">
        <v>490</v>
      </c>
      <c r="E313" s="37" t="s">
        <v>742</v>
      </c>
      <c r="F313" s="38">
        <v>1E-4</v>
      </c>
      <c r="G313" s="38">
        <v>1.0699999999999999E-2</v>
      </c>
      <c r="H313" s="39">
        <v>0</v>
      </c>
      <c r="I313" s="37" t="s">
        <v>481</v>
      </c>
      <c r="J313" s="22">
        <f t="shared" si="11"/>
        <v>8.8167871627578919E-6</v>
      </c>
      <c r="K313" s="22"/>
    </row>
    <row r="314" spans="1:12" x14ac:dyDescent="0.15">
      <c r="A314" s="37" t="s">
        <v>479</v>
      </c>
      <c r="B314" s="37" t="s">
        <v>925</v>
      </c>
      <c r="C314" s="37">
        <v>0.1062</v>
      </c>
      <c r="D314" s="37" t="s">
        <v>452</v>
      </c>
      <c r="E314" s="37" t="s">
        <v>742</v>
      </c>
      <c r="F314" s="38">
        <v>5.0000000000000002E-5</v>
      </c>
      <c r="G314" s="38">
        <v>7.9000000000000008E-3</v>
      </c>
      <c r="H314" s="39">
        <v>0</v>
      </c>
      <c r="I314" s="37" t="s">
        <v>481</v>
      </c>
      <c r="J314" s="22">
        <f t="shared" si="11"/>
        <v>5.9708621925005973E-6</v>
      </c>
      <c r="K314" s="22"/>
    </row>
    <row r="315" spans="1:12" x14ac:dyDescent="0.15">
      <c r="A315" s="37" t="s">
        <v>479</v>
      </c>
      <c r="B315" s="37" t="s">
        <v>925</v>
      </c>
      <c r="C315" s="37">
        <v>0.1062</v>
      </c>
      <c r="D315" s="37" t="s">
        <v>491</v>
      </c>
      <c r="E315" s="37" t="s">
        <v>742</v>
      </c>
      <c r="F315" s="38">
        <v>1.4999999999999999E-4</v>
      </c>
      <c r="G315" s="38">
        <v>9.8000000000000014E-3</v>
      </c>
      <c r="H315" s="39">
        <v>0</v>
      </c>
      <c r="I315" s="37" t="s">
        <v>481</v>
      </c>
      <c r="J315" s="22">
        <f t="shared" si="11"/>
        <v>1.4439738159414707E-5</v>
      </c>
      <c r="K315" s="22"/>
    </row>
    <row r="316" spans="1:12" x14ac:dyDescent="0.15">
      <c r="A316" s="37" t="s">
        <v>479</v>
      </c>
      <c r="B316" s="37" t="s">
        <v>925</v>
      </c>
      <c r="C316" s="37">
        <v>0.1062</v>
      </c>
      <c r="D316" s="37" t="s">
        <v>449</v>
      </c>
      <c r="E316" s="37" t="s">
        <v>743</v>
      </c>
      <c r="F316" s="38">
        <v>4.0000000000000003E-5</v>
      </c>
      <c r="G316" s="38">
        <v>7.4000000000000003E-3</v>
      </c>
      <c r="H316" s="39">
        <v>0</v>
      </c>
      <c r="I316" s="37" t="s">
        <v>481</v>
      </c>
      <c r="J316" s="22">
        <f>F316*COS(RADIANS(H316))/(1060*G316)</f>
        <v>5.0994390617032126E-6</v>
      </c>
      <c r="K316" s="22"/>
    </row>
    <row r="317" spans="1:12" x14ac:dyDescent="0.15">
      <c r="A317" s="37" t="s">
        <v>479</v>
      </c>
      <c r="B317" s="37" t="s">
        <v>925</v>
      </c>
      <c r="C317" s="37">
        <v>0.1062</v>
      </c>
      <c r="D317" s="37" t="s">
        <v>492</v>
      </c>
      <c r="E317" s="37" t="s">
        <v>743</v>
      </c>
      <c r="F317" s="38">
        <v>5.9999999999999995E-5</v>
      </c>
      <c r="G317" s="38">
        <v>8.199999999999999E-3</v>
      </c>
      <c r="H317" s="39">
        <v>0</v>
      </c>
      <c r="I317" s="37" t="s">
        <v>481</v>
      </c>
      <c r="J317" s="22">
        <f t="shared" si="11"/>
        <v>6.9028992176714223E-6</v>
      </c>
      <c r="K317" s="22"/>
    </row>
    <row r="318" spans="1:12" x14ac:dyDescent="0.15">
      <c r="A318" s="37" t="s">
        <v>479</v>
      </c>
      <c r="B318" s="37" t="s">
        <v>925</v>
      </c>
      <c r="C318" s="37">
        <v>0.1062</v>
      </c>
      <c r="D318" s="37" t="s">
        <v>493</v>
      </c>
      <c r="E318" s="37" t="s">
        <v>743</v>
      </c>
      <c r="F318" s="38">
        <v>1.7999999999999998E-4</v>
      </c>
      <c r="G318" s="38">
        <v>7.3000000000000001E-3</v>
      </c>
      <c r="H318" s="39">
        <v>0</v>
      </c>
      <c r="I318" s="37" t="s">
        <v>481</v>
      </c>
      <c r="J318" s="22">
        <f t="shared" si="11"/>
        <v>2.3261824760920133E-5</v>
      </c>
      <c r="K318" s="22"/>
    </row>
    <row r="319" spans="1:12" x14ac:dyDescent="0.15">
      <c r="A319" s="37" t="s">
        <v>479</v>
      </c>
      <c r="B319" s="37" t="s">
        <v>925</v>
      </c>
      <c r="C319" s="37">
        <v>0.1062</v>
      </c>
      <c r="D319" s="37" t="s">
        <v>461</v>
      </c>
      <c r="E319" s="37" t="s">
        <v>743</v>
      </c>
      <c r="F319" s="38">
        <v>2.9999999999999997E-5</v>
      </c>
      <c r="G319" s="38">
        <v>6.7000000000000002E-3</v>
      </c>
      <c r="H319" s="39">
        <v>0</v>
      </c>
      <c r="I319" s="37" t="s">
        <v>481</v>
      </c>
      <c r="J319" s="22">
        <f t="shared" si="11"/>
        <v>4.2241622078287802E-6</v>
      </c>
      <c r="K319" s="22"/>
    </row>
    <row r="320" spans="1:12" x14ac:dyDescent="0.15">
      <c r="A320" s="37" t="s">
        <v>479</v>
      </c>
      <c r="B320" s="37" t="s">
        <v>925</v>
      </c>
      <c r="C320" s="37">
        <v>0.1062</v>
      </c>
      <c r="D320" s="37" t="s">
        <v>462</v>
      </c>
      <c r="E320" s="37" t="s">
        <v>743</v>
      </c>
      <c r="F320" s="38">
        <v>1.6000000000000001E-4</v>
      </c>
      <c r="G320" s="38">
        <v>1.3300000000000001E-2</v>
      </c>
      <c r="H320" s="39">
        <v>0</v>
      </c>
      <c r="I320" s="37" t="s">
        <v>481</v>
      </c>
      <c r="J320" s="22">
        <f t="shared" si="11"/>
        <v>1.1349127535820684E-5</v>
      </c>
      <c r="K320" s="22"/>
      <c r="L320" s="35"/>
    </row>
    <row r="321" spans="1:11" x14ac:dyDescent="0.15">
      <c r="A321" s="37" t="s">
        <v>479</v>
      </c>
      <c r="B321" s="37" t="s">
        <v>925</v>
      </c>
      <c r="C321" s="37">
        <v>0.1062</v>
      </c>
      <c r="D321" s="37" t="s">
        <v>494</v>
      </c>
      <c r="E321" s="37" t="s">
        <v>743</v>
      </c>
      <c r="F321" s="38">
        <v>2.9999999999999997E-5</v>
      </c>
      <c r="G321" s="38">
        <v>8.4000000000000012E-3</v>
      </c>
      <c r="H321" s="39">
        <v>0</v>
      </c>
      <c r="I321" s="37" t="s">
        <v>481</v>
      </c>
      <c r="J321" s="22">
        <f t="shared" si="11"/>
        <v>3.3692722371967645E-6</v>
      </c>
      <c r="K321" s="22"/>
    </row>
    <row r="322" spans="1:11" x14ac:dyDescent="0.15">
      <c r="A322" s="37" t="s">
        <v>479</v>
      </c>
      <c r="B322" s="37" t="s">
        <v>925</v>
      </c>
      <c r="C322" s="37">
        <v>0.1062</v>
      </c>
      <c r="D322" s="37" t="s">
        <v>495</v>
      </c>
      <c r="E322" s="37" t="s">
        <v>743</v>
      </c>
      <c r="F322" s="38">
        <v>5.0000000000000001E-4</v>
      </c>
      <c r="G322" s="38">
        <v>9.4000000000000004E-3</v>
      </c>
      <c r="H322" s="39">
        <v>0</v>
      </c>
      <c r="I322" s="37" t="s">
        <v>481</v>
      </c>
      <c r="J322" s="22">
        <f t="shared" si="11"/>
        <v>5.0180650341228424E-5</v>
      </c>
      <c r="K322" s="22"/>
    </row>
    <row r="323" spans="1:11" x14ac:dyDescent="0.15">
      <c r="A323" s="37" t="s">
        <v>479</v>
      </c>
      <c r="B323" s="37" t="s">
        <v>925</v>
      </c>
      <c r="C323" s="37">
        <v>0.1062</v>
      </c>
      <c r="D323" s="37" t="s">
        <v>496</v>
      </c>
      <c r="E323" s="37" t="s">
        <v>743</v>
      </c>
      <c r="F323" s="38">
        <v>4.0000000000000003E-5</v>
      </c>
      <c r="G323" s="38">
        <v>7.0999999999999995E-3</v>
      </c>
      <c r="H323" s="39">
        <v>0</v>
      </c>
      <c r="I323" s="37" t="s">
        <v>481</v>
      </c>
      <c r="J323" s="22">
        <f t="shared" si="11"/>
        <v>5.314908317831518E-6</v>
      </c>
      <c r="K323" s="22"/>
    </row>
    <row r="324" spans="1:11" x14ac:dyDescent="0.15">
      <c r="A324" s="37" t="s">
        <v>479</v>
      </c>
      <c r="B324" s="37" t="s">
        <v>925</v>
      </c>
      <c r="C324" s="37">
        <v>0.1062</v>
      </c>
      <c r="D324" s="37" t="s">
        <v>457</v>
      </c>
      <c r="E324" s="37" t="s">
        <v>743</v>
      </c>
      <c r="F324" s="38">
        <v>4.0000000000000003E-5</v>
      </c>
      <c r="G324" s="38">
        <v>9.9000000000000008E-3</v>
      </c>
      <c r="H324" s="39">
        <v>0</v>
      </c>
      <c r="I324" s="37" t="s">
        <v>481</v>
      </c>
      <c r="J324" s="22">
        <f t="shared" si="11"/>
        <v>3.8117019249094716E-6</v>
      </c>
      <c r="K324" s="22"/>
    </row>
    <row r="325" spans="1:11" x14ac:dyDescent="0.15">
      <c r="A325" s="37" t="s">
        <v>479</v>
      </c>
      <c r="B325" s="37" t="s">
        <v>925</v>
      </c>
      <c r="C325" s="37">
        <v>0.1062</v>
      </c>
      <c r="D325" s="37" t="s">
        <v>458</v>
      </c>
      <c r="E325" s="37" t="s">
        <v>743</v>
      </c>
      <c r="F325" s="38">
        <v>7.0000000000000007E-5</v>
      </c>
      <c r="G325" s="38">
        <v>8.0999999999999996E-3</v>
      </c>
      <c r="H325" s="39">
        <v>0</v>
      </c>
      <c r="I325" s="37" t="s">
        <v>481</v>
      </c>
      <c r="J325" s="22">
        <f t="shared" si="11"/>
        <v>8.1528068949452599E-6</v>
      </c>
      <c r="K325" s="22"/>
    </row>
    <row r="326" spans="1:11" x14ac:dyDescent="0.15">
      <c r="A326" s="37" t="s">
        <v>479</v>
      </c>
      <c r="B326" s="37" t="s">
        <v>925</v>
      </c>
      <c r="C326" s="37">
        <v>0.1062</v>
      </c>
      <c r="D326" s="37" t="s">
        <v>497</v>
      </c>
      <c r="E326" s="37" t="s">
        <v>743</v>
      </c>
      <c r="F326" s="38">
        <v>2.0000000000000002E-5</v>
      </c>
      <c r="G326" s="38">
        <v>8.0999999999999996E-3</v>
      </c>
      <c r="H326" s="39">
        <v>0</v>
      </c>
      <c r="I326" s="37" t="s">
        <v>481</v>
      </c>
      <c r="J326" s="22">
        <f t="shared" si="11"/>
        <v>2.3293733985557887E-6</v>
      </c>
      <c r="K326" s="22"/>
    </row>
    <row r="327" spans="1:11" x14ac:dyDescent="0.15">
      <c r="A327" s="37" t="s">
        <v>479</v>
      </c>
      <c r="B327" s="37" t="s">
        <v>925</v>
      </c>
      <c r="C327" s="37">
        <v>0.1062</v>
      </c>
      <c r="D327" s="37" t="s">
        <v>498</v>
      </c>
      <c r="E327" s="37" t="s">
        <v>743</v>
      </c>
      <c r="F327" s="38">
        <v>4.0000000000000003E-5</v>
      </c>
      <c r="G327" s="38">
        <v>8.8999999999999999E-3</v>
      </c>
      <c r="H327" s="39">
        <v>0</v>
      </c>
      <c r="I327" s="37" t="s">
        <v>481</v>
      </c>
      <c r="J327" s="22">
        <f t="shared" si="11"/>
        <v>4.2399830400678401E-6</v>
      </c>
      <c r="K327" s="22"/>
    </row>
    <row r="328" spans="1:11" x14ac:dyDescent="0.15">
      <c r="A328" s="30" t="s">
        <v>258</v>
      </c>
      <c r="B328" s="30" t="s">
        <v>925</v>
      </c>
      <c r="C328" s="30">
        <v>91</v>
      </c>
      <c r="D328" s="30" t="s">
        <v>500</v>
      </c>
      <c r="E328" s="30" t="s">
        <v>742</v>
      </c>
      <c r="F328" s="7">
        <v>1.9E-2</v>
      </c>
      <c r="G328" s="7">
        <v>1.0999999999999999E-2</v>
      </c>
      <c r="H328" s="23">
        <v>33.1</v>
      </c>
      <c r="I328" s="30" t="s">
        <v>296</v>
      </c>
      <c r="J328" s="22">
        <f t="shared" ref="J328:J365" si="12">F328*COS(RADIANS(H328))/(1060*G328)</f>
        <v>1.3650648040984851E-3</v>
      </c>
      <c r="K328" s="22"/>
    </row>
    <row r="329" spans="1:11" x14ac:dyDescent="0.15">
      <c r="A329" s="30" t="s">
        <v>258</v>
      </c>
      <c r="B329" s="30" t="s">
        <v>925</v>
      </c>
      <c r="C329" s="30">
        <v>91</v>
      </c>
      <c r="D329" s="30" t="s">
        <v>501</v>
      </c>
      <c r="E329" s="30" t="s">
        <v>742</v>
      </c>
      <c r="F329" s="7">
        <v>8.7999999999999995E-2</v>
      </c>
      <c r="G329" s="7">
        <v>1.7999999999999999E-2</v>
      </c>
      <c r="H329" s="23">
        <v>26.5</v>
      </c>
      <c r="I329" s="30" t="s">
        <v>296</v>
      </c>
      <c r="J329" s="22">
        <f t="shared" si="12"/>
        <v>4.1275798648311426E-3</v>
      </c>
      <c r="K329" s="22"/>
    </row>
    <row r="330" spans="1:11" x14ac:dyDescent="0.15">
      <c r="A330" s="30" t="s">
        <v>258</v>
      </c>
      <c r="B330" s="30" t="s">
        <v>925</v>
      </c>
      <c r="C330" s="30">
        <v>91</v>
      </c>
      <c r="D330" s="30" t="s">
        <v>502</v>
      </c>
      <c r="E330" s="30" t="s">
        <v>742</v>
      </c>
      <c r="F330" s="7">
        <v>9.1999999999999998E-2</v>
      </c>
      <c r="G330" s="7">
        <v>0.13800000000000001</v>
      </c>
      <c r="H330" s="23">
        <v>0</v>
      </c>
      <c r="I330" s="30" t="s">
        <v>296</v>
      </c>
      <c r="J330" s="22">
        <f t="shared" si="12"/>
        <v>6.2893081761006286E-4</v>
      </c>
      <c r="K330" s="22"/>
    </row>
    <row r="331" spans="1:11" x14ac:dyDescent="0.15">
      <c r="A331" s="30" t="s">
        <v>258</v>
      </c>
      <c r="B331" s="30" t="s">
        <v>925</v>
      </c>
      <c r="C331" s="30">
        <v>91</v>
      </c>
      <c r="D331" s="30" t="s">
        <v>503</v>
      </c>
      <c r="E331" s="30" t="s">
        <v>742</v>
      </c>
      <c r="F331" s="7">
        <v>9.0999999999999998E-2</v>
      </c>
      <c r="G331" s="7">
        <v>0.188</v>
      </c>
      <c r="H331" s="23">
        <v>0</v>
      </c>
      <c r="I331" s="30" t="s">
        <v>296</v>
      </c>
      <c r="J331" s="22">
        <f t="shared" si="12"/>
        <v>4.5664391810517865E-4</v>
      </c>
      <c r="K331" s="22"/>
    </row>
    <row r="332" spans="1:11" x14ac:dyDescent="0.15">
      <c r="A332" s="30" t="s">
        <v>258</v>
      </c>
      <c r="B332" s="30" t="s">
        <v>925</v>
      </c>
      <c r="C332" s="30">
        <v>91</v>
      </c>
      <c r="D332" s="30" t="s">
        <v>504</v>
      </c>
      <c r="E332" s="30" t="s">
        <v>742</v>
      </c>
      <c r="F332" s="7">
        <v>8.0000000000000002E-3</v>
      </c>
      <c r="G332" s="7">
        <v>0.02</v>
      </c>
      <c r="H332" s="23">
        <v>21</v>
      </c>
      <c r="I332" s="30" t="s">
        <v>296</v>
      </c>
      <c r="J332" s="22">
        <f t="shared" si="12"/>
        <v>3.5229450056498178E-4</v>
      </c>
      <c r="K332" s="22"/>
    </row>
    <row r="333" spans="1:11" x14ac:dyDescent="0.15">
      <c r="A333" s="30" t="s">
        <v>258</v>
      </c>
      <c r="B333" s="30" t="s">
        <v>925</v>
      </c>
      <c r="C333" s="30">
        <v>91</v>
      </c>
      <c r="D333" s="30" t="s">
        <v>505</v>
      </c>
      <c r="E333" s="30" t="s">
        <v>742</v>
      </c>
      <c r="F333" s="7">
        <v>4.2999999999999997E-2</v>
      </c>
      <c r="G333" s="7">
        <v>3.3000000000000002E-2</v>
      </c>
      <c r="H333" s="23">
        <v>30.7</v>
      </c>
      <c r="I333" s="30" t="s">
        <v>296</v>
      </c>
      <c r="J333" s="22">
        <f t="shared" si="12"/>
        <v>1.056993930207706E-3</v>
      </c>
      <c r="K333" s="22"/>
    </row>
    <row r="334" spans="1:11" x14ac:dyDescent="0.15">
      <c r="A334" s="30" t="s">
        <v>258</v>
      </c>
      <c r="B334" s="30" t="s">
        <v>925</v>
      </c>
      <c r="C334" s="30">
        <v>91</v>
      </c>
      <c r="D334" s="30" t="s">
        <v>506</v>
      </c>
      <c r="E334" s="30" t="s">
        <v>742</v>
      </c>
      <c r="F334" s="7">
        <v>4.9000000000000002E-2</v>
      </c>
      <c r="G334" s="7">
        <v>6.8000000000000005E-2</v>
      </c>
      <c r="H334" s="23">
        <v>0</v>
      </c>
      <c r="I334" s="30" t="s">
        <v>296</v>
      </c>
      <c r="J334" s="22">
        <f t="shared" si="12"/>
        <v>6.7980022197558271E-4</v>
      </c>
      <c r="K334" s="22"/>
    </row>
    <row r="335" spans="1:11" x14ac:dyDescent="0.15">
      <c r="A335" s="30" t="s">
        <v>258</v>
      </c>
      <c r="B335" s="30" t="s">
        <v>925</v>
      </c>
      <c r="C335" s="30">
        <v>91</v>
      </c>
      <c r="D335" s="30" t="s">
        <v>519</v>
      </c>
      <c r="E335" s="30" t="s">
        <v>742</v>
      </c>
      <c r="F335" s="7">
        <v>0.38100000000000001</v>
      </c>
      <c r="G335" s="7">
        <v>4.2999999999999997E-2</v>
      </c>
      <c r="H335" s="23">
        <v>30.2</v>
      </c>
      <c r="I335" s="30" t="s">
        <v>296</v>
      </c>
      <c r="J335" s="22">
        <f t="shared" si="12"/>
        <v>7.2244120128205688E-3</v>
      </c>
      <c r="K335" s="22"/>
    </row>
    <row r="336" spans="1:11" x14ac:dyDescent="0.15">
      <c r="A336" s="30" t="s">
        <v>258</v>
      </c>
      <c r="B336" s="30" t="s">
        <v>925</v>
      </c>
      <c r="C336" s="30">
        <v>91</v>
      </c>
      <c r="D336" s="30" t="s">
        <v>520</v>
      </c>
      <c r="E336" s="30" t="s">
        <v>742</v>
      </c>
      <c r="F336" s="7">
        <v>0.17</v>
      </c>
      <c r="G336" s="7">
        <v>0.22700000000000001</v>
      </c>
      <c r="H336" s="23">
        <v>0</v>
      </c>
      <c r="I336" s="30" t="s">
        <v>296</v>
      </c>
      <c r="J336" s="22">
        <f t="shared" si="12"/>
        <v>7.0650818718311038E-4</v>
      </c>
      <c r="K336" s="22"/>
    </row>
    <row r="337" spans="1:11" x14ac:dyDescent="0.15">
      <c r="A337" s="30" t="s">
        <v>258</v>
      </c>
      <c r="B337" s="30" t="s">
        <v>925</v>
      </c>
      <c r="C337" s="30">
        <v>91</v>
      </c>
      <c r="D337" s="30" t="s">
        <v>521</v>
      </c>
      <c r="E337" s="30" t="s">
        <v>742</v>
      </c>
      <c r="F337" s="7">
        <v>0.182</v>
      </c>
      <c r="G337" s="7">
        <v>0.23200000000000001</v>
      </c>
      <c r="H337" s="23">
        <v>0</v>
      </c>
      <c r="I337" s="30" t="s">
        <v>296</v>
      </c>
      <c r="J337" s="22">
        <f t="shared" si="12"/>
        <v>7.400780741704619E-4</v>
      </c>
      <c r="K337" s="22"/>
    </row>
    <row r="338" spans="1:11" x14ac:dyDescent="0.15">
      <c r="A338" s="30" t="s">
        <v>258</v>
      </c>
      <c r="B338" s="30" t="s">
        <v>925</v>
      </c>
      <c r="C338" s="30">
        <v>91</v>
      </c>
      <c r="D338" s="30" t="s">
        <v>522</v>
      </c>
      <c r="E338" s="30" t="s">
        <v>742</v>
      </c>
      <c r="F338" s="7">
        <v>0.67</v>
      </c>
      <c r="G338" s="7">
        <v>0.34599999999999997</v>
      </c>
      <c r="H338" s="23">
        <v>0</v>
      </c>
      <c r="I338" s="30" t="s">
        <v>296</v>
      </c>
      <c r="J338" s="22">
        <f t="shared" si="12"/>
        <v>1.8268077216708476E-3</v>
      </c>
      <c r="K338" s="22"/>
    </row>
    <row r="339" spans="1:11" x14ac:dyDescent="0.15">
      <c r="A339" s="30" t="s">
        <v>258</v>
      </c>
      <c r="B339" s="30" t="s">
        <v>925</v>
      </c>
      <c r="C339" s="30">
        <v>91</v>
      </c>
      <c r="D339" s="30" t="s">
        <v>523</v>
      </c>
      <c r="E339" s="30" t="s">
        <v>742</v>
      </c>
      <c r="F339" s="7">
        <v>0.16900000000000001</v>
      </c>
      <c r="G339" s="7">
        <v>0.106</v>
      </c>
      <c r="H339" s="23">
        <v>0</v>
      </c>
      <c r="I339" s="30" t="s">
        <v>296</v>
      </c>
      <c r="J339" s="22">
        <f t="shared" si="12"/>
        <v>1.5040939836240656E-3</v>
      </c>
      <c r="K339" s="22"/>
    </row>
    <row r="340" spans="1:11" x14ac:dyDescent="0.15">
      <c r="A340" s="30" t="s">
        <v>258</v>
      </c>
      <c r="B340" s="30" t="s">
        <v>925</v>
      </c>
      <c r="C340" s="30">
        <v>91</v>
      </c>
      <c r="D340" s="30" t="s">
        <v>524</v>
      </c>
      <c r="E340" s="30" t="s">
        <v>742</v>
      </c>
      <c r="F340" s="7">
        <v>4.3999999999999997E-2</v>
      </c>
      <c r="G340" s="7">
        <v>0.161</v>
      </c>
      <c r="H340" s="23">
        <v>0</v>
      </c>
      <c r="I340" s="30" t="s">
        <v>296</v>
      </c>
      <c r="J340" s="22">
        <f t="shared" si="12"/>
        <v>2.5782257119418727E-4</v>
      </c>
      <c r="K340" s="22"/>
    </row>
    <row r="341" spans="1:11" x14ac:dyDescent="0.15">
      <c r="A341" s="30" t="s">
        <v>258</v>
      </c>
      <c r="B341" s="30" t="s">
        <v>925</v>
      </c>
      <c r="C341" s="30">
        <v>91</v>
      </c>
      <c r="D341" s="30" t="s">
        <v>525</v>
      </c>
      <c r="E341" s="30" t="s">
        <v>742</v>
      </c>
      <c r="F341" s="7">
        <v>0.185</v>
      </c>
      <c r="G341" s="7">
        <v>4.2999999999999997E-2</v>
      </c>
      <c r="H341" s="23">
        <v>29.9</v>
      </c>
      <c r="I341" s="30" t="s">
        <v>296</v>
      </c>
      <c r="J341" s="22">
        <f t="shared" si="12"/>
        <v>3.5185585465793445E-3</v>
      </c>
      <c r="K341" s="22"/>
    </row>
    <row r="342" spans="1:11" x14ac:dyDescent="0.15">
      <c r="A342" s="30" t="s">
        <v>258</v>
      </c>
      <c r="B342" s="30" t="s">
        <v>925</v>
      </c>
      <c r="C342" s="30">
        <v>91</v>
      </c>
      <c r="D342" s="30" t="s">
        <v>526</v>
      </c>
      <c r="E342" s="30" t="s">
        <v>742</v>
      </c>
      <c r="F342" s="7">
        <v>0.33</v>
      </c>
      <c r="G342" s="7">
        <v>6.7000000000000004E-2</v>
      </c>
      <c r="H342" s="23">
        <v>28.7</v>
      </c>
      <c r="I342" s="30" t="s">
        <v>296</v>
      </c>
      <c r="J342" s="22">
        <f t="shared" si="12"/>
        <v>4.0757284430138589E-3</v>
      </c>
      <c r="K342" s="22"/>
    </row>
    <row r="343" spans="1:11" x14ac:dyDescent="0.15">
      <c r="A343" s="30" t="s">
        <v>258</v>
      </c>
      <c r="B343" s="30" t="s">
        <v>925</v>
      </c>
      <c r="C343" s="30">
        <v>91</v>
      </c>
      <c r="D343" s="30" t="s">
        <v>527</v>
      </c>
      <c r="E343" s="30" t="s">
        <v>742</v>
      </c>
      <c r="F343" s="7">
        <v>3.2000000000000001E-2</v>
      </c>
      <c r="G343" s="7">
        <v>0.16800000000000001</v>
      </c>
      <c r="H343" s="23">
        <v>0</v>
      </c>
      <c r="I343" s="30" t="s">
        <v>296</v>
      </c>
      <c r="J343" s="22">
        <f t="shared" si="12"/>
        <v>1.7969451931716083E-4</v>
      </c>
      <c r="K343" s="22"/>
    </row>
    <row r="344" spans="1:11" x14ac:dyDescent="0.15">
      <c r="A344" s="30" t="s">
        <v>258</v>
      </c>
      <c r="B344" s="30" t="s">
        <v>925</v>
      </c>
      <c r="C344" s="30">
        <v>91</v>
      </c>
      <c r="D344" s="30" t="s">
        <v>528</v>
      </c>
      <c r="E344" s="30" t="s">
        <v>742</v>
      </c>
      <c r="F344" s="7">
        <v>9.5000000000000001E-2</v>
      </c>
      <c r="G344" s="7">
        <v>0.152</v>
      </c>
      <c r="H344" s="23">
        <v>0</v>
      </c>
      <c r="I344" s="30" t="s">
        <v>296</v>
      </c>
      <c r="J344" s="22">
        <f t="shared" si="12"/>
        <v>5.8962264150943394E-4</v>
      </c>
      <c r="K344" s="22"/>
    </row>
    <row r="345" spans="1:11" x14ac:dyDescent="0.15">
      <c r="A345" s="30" t="s">
        <v>258</v>
      </c>
      <c r="B345" s="30" t="s">
        <v>925</v>
      </c>
      <c r="C345" s="30">
        <v>91</v>
      </c>
      <c r="D345" s="30" t="s">
        <v>529</v>
      </c>
      <c r="E345" s="30" t="s">
        <v>742</v>
      </c>
      <c r="F345" s="7">
        <v>0.04</v>
      </c>
      <c r="G345" s="7">
        <v>3.4000000000000002E-2</v>
      </c>
      <c r="H345" s="23">
        <v>28.1</v>
      </c>
      <c r="I345" s="30" t="s">
        <v>296</v>
      </c>
      <c r="J345" s="22">
        <f t="shared" si="12"/>
        <v>9.7905312543581334E-4</v>
      </c>
      <c r="K345" s="22"/>
    </row>
    <row r="346" spans="1:11" x14ac:dyDescent="0.15">
      <c r="A346" s="30" t="s">
        <v>258</v>
      </c>
      <c r="B346" s="30" t="s">
        <v>925</v>
      </c>
      <c r="C346" s="30">
        <v>91</v>
      </c>
      <c r="D346" s="30" t="s">
        <v>530</v>
      </c>
      <c r="E346" s="30" t="s">
        <v>742</v>
      </c>
      <c r="F346" s="7">
        <v>1.0999999999999999E-2</v>
      </c>
      <c r="G346" s="7">
        <v>0.107</v>
      </c>
      <c r="H346" s="23">
        <v>0</v>
      </c>
      <c r="I346" s="30" t="s">
        <v>296</v>
      </c>
      <c r="J346" s="22">
        <f t="shared" si="12"/>
        <v>9.6984658790336795E-5</v>
      </c>
      <c r="K346" s="22"/>
    </row>
    <row r="347" spans="1:11" x14ac:dyDescent="0.15">
      <c r="A347" s="30" t="s">
        <v>258</v>
      </c>
      <c r="B347" s="30" t="s">
        <v>925</v>
      </c>
      <c r="C347" s="30">
        <v>91</v>
      </c>
      <c r="D347" s="30" t="s">
        <v>531</v>
      </c>
      <c r="E347" s="30" t="s">
        <v>742</v>
      </c>
      <c r="F347" s="7">
        <v>0.128</v>
      </c>
      <c r="G347" s="7">
        <v>0.105</v>
      </c>
      <c r="H347" s="23">
        <v>0</v>
      </c>
      <c r="I347" s="30" t="s">
        <v>296</v>
      </c>
      <c r="J347" s="22">
        <f t="shared" si="12"/>
        <v>1.1500449236298293E-3</v>
      </c>
      <c r="K347" s="22"/>
    </row>
    <row r="348" spans="1:11" x14ac:dyDescent="0.15">
      <c r="A348" s="30" t="s">
        <v>258</v>
      </c>
      <c r="B348" s="30" t="s">
        <v>925</v>
      </c>
      <c r="C348" s="30">
        <v>91</v>
      </c>
      <c r="D348" s="30" t="s">
        <v>532</v>
      </c>
      <c r="E348" s="30" t="s">
        <v>742</v>
      </c>
      <c r="F348" s="7">
        <v>0.54100000000000004</v>
      </c>
      <c r="G348" s="7">
        <v>9.4E-2</v>
      </c>
      <c r="H348" s="23">
        <v>24.1</v>
      </c>
      <c r="I348" s="30" t="s">
        <v>296</v>
      </c>
      <c r="J348" s="22">
        <f t="shared" si="12"/>
        <v>4.9562754905969108E-3</v>
      </c>
      <c r="K348" s="22"/>
    </row>
    <row r="349" spans="1:11" x14ac:dyDescent="0.15">
      <c r="A349" s="30" t="s">
        <v>258</v>
      </c>
      <c r="B349" s="30" t="s">
        <v>925</v>
      </c>
      <c r="C349" s="30">
        <v>91</v>
      </c>
      <c r="D349" s="30" t="s">
        <v>533</v>
      </c>
      <c r="E349" s="30" t="s">
        <v>742</v>
      </c>
      <c r="F349" s="7">
        <v>2.8000000000000001E-2</v>
      </c>
      <c r="G349" s="7">
        <v>7.2999999999999995E-2</v>
      </c>
      <c r="H349" s="23">
        <v>18.399999999999999</v>
      </c>
      <c r="I349" s="30" t="s">
        <v>296</v>
      </c>
      <c r="J349" s="22">
        <f t="shared" si="12"/>
        <v>3.4335136115334588E-4</v>
      </c>
      <c r="K349" s="22"/>
    </row>
    <row r="350" spans="1:11" x14ac:dyDescent="0.15">
      <c r="A350" s="30" t="s">
        <v>258</v>
      </c>
      <c r="B350" s="30" t="s">
        <v>925</v>
      </c>
      <c r="C350" s="30">
        <v>91</v>
      </c>
      <c r="D350" s="30" t="s">
        <v>499</v>
      </c>
      <c r="E350" s="30" t="s">
        <v>743</v>
      </c>
      <c r="F350" s="7">
        <v>2.1999999999999999E-2</v>
      </c>
      <c r="G350" s="7">
        <v>7.3999999999999996E-2</v>
      </c>
      <c r="H350" s="23">
        <v>0</v>
      </c>
      <c r="I350" s="30" t="s">
        <v>296</v>
      </c>
      <c r="J350" s="22">
        <f>F350*COS(RADIANS(H350))/(1060*G350)</f>
        <v>2.8046914839367667E-4</v>
      </c>
      <c r="K350" s="22"/>
    </row>
    <row r="351" spans="1:11" x14ac:dyDescent="0.15">
      <c r="A351" s="30" t="s">
        <v>258</v>
      </c>
      <c r="B351" s="30" t="s">
        <v>925</v>
      </c>
      <c r="C351" s="30">
        <v>91</v>
      </c>
      <c r="D351" s="30" t="s">
        <v>507</v>
      </c>
      <c r="E351" s="30" t="s">
        <v>743</v>
      </c>
      <c r="F351" s="7">
        <v>1E-3</v>
      </c>
      <c r="G351" s="7">
        <v>0.01</v>
      </c>
      <c r="H351" s="23">
        <v>32.6</v>
      </c>
      <c r="I351" s="30" t="s">
        <v>296</v>
      </c>
      <c r="J351" s="22">
        <f t="shared" si="12"/>
        <v>7.9476641227089394E-5</v>
      </c>
      <c r="K351" s="22"/>
    </row>
    <row r="352" spans="1:11" x14ac:dyDescent="0.15">
      <c r="A352" s="30" t="s">
        <v>258</v>
      </c>
      <c r="B352" s="30" t="s">
        <v>925</v>
      </c>
      <c r="C352" s="30">
        <v>91</v>
      </c>
      <c r="D352" s="30" t="s">
        <v>508</v>
      </c>
      <c r="E352" s="30" t="s">
        <v>743</v>
      </c>
      <c r="F352" s="7">
        <v>1.7000000000000001E-2</v>
      </c>
      <c r="G352" s="7">
        <v>2.8000000000000001E-2</v>
      </c>
      <c r="H352" s="23">
        <v>26.3</v>
      </c>
      <c r="I352" s="30" t="s">
        <v>296</v>
      </c>
      <c r="J352" s="22">
        <f t="shared" si="12"/>
        <v>5.1348616295547481E-4</v>
      </c>
      <c r="K352" s="22"/>
    </row>
    <row r="353" spans="1:11" x14ac:dyDescent="0.15">
      <c r="A353" s="30" t="s">
        <v>258</v>
      </c>
      <c r="B353" s="30" t="s">
        <v>925</v>
      </c>
      <c r="C353" s="30">
        <v>91</v>
      </c>
      <c r="D353" s="30" t="s">
        <v>509</v>
      </c>
      <c r="E353" s="30" t="s">
        <v>743</v>
      </c>
      <c r="F353" s="7">
        <v>0.112</v>
      </c>
      <c r="G353" s="7">
        <v>0.06</v>
      </c>
      <c r="H353" s="23">
        <v>23.4</v>
      </c>
      <c r="I353" s="30" t="s">
        <v>296</v>
      </c>
      <c r="J353" s="22">
        <f t="shared" si="12"/>
        <v>1.6161716678711618E-3</v>
      </c>
      <c r="K353" s="22"/>
    </row>
    <row r="354" spans="1:11" x14ac:dyDescent="0.15">
      <c r="A354" s="30" t="s">
        <v>258</v>
      </c>
      <c r="B354" s="30" t="s">
        <v>925</v>
      </c>
      <c r="C354" s="30">
        <v>91</v>
      </c>
      <c r="D354" s="30" t="s">
        <v>510</v>
      </c>
      <c r="E354" s="30" t="s">
        <v>743</v>
      </c>
      <c r="F354" s="7">
        <v>3.0000000000000001E-3</v>
      </c>
      <c r="G354" s="7">
        <v>4.5999999999999999E-2</v>
      </c>
      <c r="H354" s="23">
        <v>26.5</v>
      </c>
      <c r="I354" s="30" t="s">
        <v>296</v>
      </c>
      <c r="J354" s="22">
        <f t="shared" si="12"/>
        <v>5.5061589105949047E-5</v>
      </c>
      <c r="K354" s="22"/>
    </row>
    <row r="355" spans="1:11" x14ac:dyDescent="0.15">
      <c r="A355" s="30" t="s">
        <v>258</v>
      </c>
      <c r="B355" s="30" t="s">
        <v>925</v>
      </c>
      <c r="C355" s="30">
        <v>91</v>
      </c>
      <c r="D355" s="30" t="s">
        <v>511</v>
      </c>
      <c r="E355" s="30" t="s">
        <v>743</v>
      </c>
      <c r="F355" s="7">
        <v>1.0999999999999999E-2</v>
      </c>
      <c r="G355" s="7">
        <v>2.8000000000000001E-2</v>
      </c>
      <c r="H355" s="23">
        <v>22.5</v>
      </c>
      <c r="I355" s="30" t="s">
        <v>296</v>
      </c>
      <c r="J355" s="22">
        <f t="shared" si="12"/>
        <v>3.4240818253450654E-4</v>
      </c>
      <c r="K355" s="22"/>
    </row>
    <row r="356" spans="1:11" x14ac:dyDescent="0.15">
      <c r="A356" s="30" t="s">
        <v>258</v>
      </c>
      <c r="B356" s="30" t="s">
        <v>925</v>
      </c>
      <c r="C356" s="30">
        <v>91</v>
      </c>
      <c r="D356" s="30" t="s">
        <v>129</v>
      </c>
      <c r="E356" s="30" t="s">
        <v>743</v>
      </c>
      <c r="F356" s="7">
        <v>1.7999999999999999E-2</v>
      </c>
      <c r="G356" s="7">
        <v>3.1E-2</v>
      </c>
      <c r="H356" s="23">
        <v>22.2</v>
      </c>
      <c r="I356" s="30" t="s">
        <v>296</v>
      </c>
      <c r="J356" s="22">
        <f t="shared" si="12"/>
        <v>5.0717195759524968E-4</v>
      </c>
      <c r="K356" s="22"/>
    </row>
    <row r="357" spans="1:11" x14ac:dyDescent="0.15">
      <c r="A357" s="30" t="s">
        <v>258</v>
      </c>
      <c r="B357" s="30" t="s">
        <v>925</v>
      </c>
      <c r="C357" s="30">
        <v>91</v>
      </c>
      <c r="D357" s="30" t="s">
        <v>512</v>
      </c>
      <c r="E357" s="30" t="s">
        <v>743</v>
      </c>
      <c r="F357" s="7">
        <v>1.2999999999999999E-2</v>
      </c>
      <c r="G357" s="7">
        <v>3.2000000000000001E-2</v>
      </c>
      <c r="H357" s="23">
        <v>24.2</v>
      </c>
      <c r="I357" s="30" t="s">
        <v>296</v>
      </c>
      <c r="J357" s="22">
        <f t="shared" si="12"/>
        <v>3.4957433697640182E-4</v>
      </c>
      <c r="K357" s="22"/>
    </row>
    <row r="358" spans="1:11" x14ac:dyDescent="0.15">
      <c r="A358" s="30" t="s">
        <v>258</v>
      </c>
      <c r="B358" s="30" t="s">
        <v>925</v>
      </c>
      <c r="C358" s="30">
        <v>91</v>
      </c>
      <c r="D358" s="30" t="s">
        <v>513</v>
      </c>
      <c r="E358" s="30" t="s">
        <v>743</v>
      </c>
      <c r="F358" s="7">
        <v>2.1000000000000001E-2</v>
      </c>
      <c r="G358" s="7">
        <v>6.0000000000000001E-3</v>
      </c>
      <c r="H358" s="23">
        <v>36.200000000000003</v>
      </c>
      <c r="I358" s="30" t="s">
        <v>296</v>
      </c>
      <c r="J358" s="22">
        <f t="shared" si="12"/>
        <v>2.6644915967012329E-3</v>
      </c>
      <c r="K358" s="22"/>
    </row>
    <row r="359" spans="1:11" x14ac:dyDescent="0.15">
      <c r="A359" s="30" t="s">
        <v>258</v>
      </c>
      <c r="B359" s="30" t="s">
        <v>925</v>
      </c>
      <c r="C359" s="30">
        <v>91</v>
      </c>
      <c r="D359" s="30" t="s">
        <v>514</v>
      </c>
      <c r="E359" s="30" t="s">
        <v>743</v>
      </c>
      <c r="F359" s="7">
        <v>9.1999999999999998E-2</v>
      </c>
      <c r="G359" s="7">
        <v>1.2E-2</v>
      </c>
      <c r="H359" s="23">
        <v>37.4</v>
      </c>
      <c r="I359" s="30" t="s">
        <v>296</v>
      </c>
      <c r="J359" s="22">
        <f t="shared" si="12"/>
        <v>5.7457661233693757E-3</v>
      </c>
      <c r="K359" s="22"/>
    </row>
    <row r="360" spans="1:11" x14ac:dyDescent="0.15">
      <c r="A360" s="30" t="s">
        <v>258</v>
      </c>
      <c r="B360" s="30" t="s">
        <v>925</v>
      </c>
      <c r="C360" s="30">
        <v>91</v>
      </c>
      <c r="D360" s="30" t="s">
        <v>515</v>
      </c>
      <c r="E360" s="30" t="s">
        <v>743</v>
      </c>
      <c r="F360" s="7">
        <v>3.7999999999999999E-2</v>
      </c>
      <c r="G360" s="7">
        <v>0.01</v>
      </c>
      <c r="H360" s="23">
        <v>26.7</v>
      </c>
      <c r="I360" s="30" t="s">
        <v>296</v>
      </c>
      <c r="J360" s="22">
        <f t="shared" si="12"/>
        <v>3.2026521468356442E-3</v>
      </c>
      <c r="K360" s="22"/>
    </row>
    <row r="361" spans="1:11" x14ac:dyDescent="0.15">
      <c r="A361" s="30" t="s">
        <v>258</v>
      </c>
      <c r="B361" s="30" t="s">
        <v>925</v>
      </c>
      <c r="C361" s="30">
        <v>91</v>
      </c>
      <c r="D361" s="30" t="s">
        <v>516</v>
      </c>
      <c r="E361" s="30" t="s">
        <v>743</v>
      </c>
      <c r="F361" s="7">
        <v>3.9E-2</v>
      </c>
      <c r="G361" s="7">
        <v>8.0000000000000002E-3</v>
      </c>
      <c r="H361" s="23">
        <v>36.1</v>
      </c>
      <c r="I361" s="30" t="s">
        <v>296</v>
      </c>
      <c r="J361" s="22">
        <f t="shared" si="12"/>
        <v>3.7159912113234892E-3</v>
      </c>
      <c r="K361" s="22"/>
    </row>
    <row r="362" spans="1:11" x14ac:dyDescent="0.15">
      <c r="A362" s="30" t="s">
        <v>258</v>
      </c>
      <c r="B362" s="30" t="s">
        <v>925</v>
      </c>
      <c r="C362" s="30">
        <v>91</v>
      </c>
      <c r="D362" s="30" t="s">
        <v>517</v>
      </c>
      <c r="E362" s="30" t="s">
        <v>743</v>
      </c>
      <c r="F362" s="7">
        <v>2E-3</v>
      </c>
      <c r="G362" s="7">
        <v>3.5999999999999997E-2</v>
      </c>
      <c r="H362" s="23">
        <v>0</v>
      </c>
      <c r="I362" s="30" t="s">
        <v>296</v>
      </c>
      <c r="J362" s="22">
        <f t="shared" si="12"/>
        <v>5.2410901467505245E-5</v>
      </c>
      <c r="K362" s="22"/>
    </row>
    <row r="363" spans="1:11" x14ac:dyDescent="0.15">
      <c r="A363" s="30" t="s">
        <v>258</v>
      </c>
      <c r="B363" s="30" t="s">
        <v>925</v>
      </c>
      <c r="C363" s="30">
        <v>91</v>
      </c>
      <c r="D363" s="30" t="s">
        <v>518</v>
      </c>
      <c r="E363" s="30" t="s">
        <v>743</v>
      </c>
      <c r="F363" s="7">
        <v>0.01</v>
      </c>
      <c r="G363" s="7">
        <v>3.7999999999999999E-2</v>
      </c>
      <c r="H363" s="23">
        <v>0</v>
      </c>
      <c r="I363" s="30" t="s">
        <v>296</v>
      </c>
      <c r="J363" s="22">
        <f t="shared" si="12"/>
        <v>2.4826216484607745E-4</v>
      </c>
      <c r="K363" s="22"/>
    </row>
    <row r="364" spans="1:11" x14ac:dyDescent="0.15">
      <c r="A364" s="30" t="s">
        <v>258</v>
      </c>
      <c r="B364" s="30" t="s">
        <v>925</v>
      </c>
      <c r="C364" s="30">
        <v>91</v>
      </c>
      <c r="D364" s="30" t="s">
        <v>111</v>
      </c>
      <c r="E364" s="30" t="s">
        <v>743</v>
      </c>
      <c r="F364" s="7">
        <v>1.2E-2</v>
      </c>
      <c r="G364" s="7">
        <v>7.0999999999999994E-2</v>
      </c>
      <c r="H364" s="23">
        <v>19.7</v>
      </c>
      <c r="I364" s="30" t="s">
        <v>296</v>
      </c>
      <c r="J364" s="22">
        <f t="shared" si="12"/>
        <v>1.5011488888844616E-4</v>
      </c>
      <c r="K364" s="22"/>
    </row>
    <row r="365" spans="1:11" x14ac:dyDescent="0.15">
      <c r="A365" s="30" t="s">
        <v>258</v>
      </c>
      <c r="B365" s="30" t="s">
        <v>925</v>
      </c>
      <c r="C365" s="30">
        <v>91</v>
      </c>
      <c r="D365" s="30" t="s">
        <v>534</v>
      </c>
      <c r="E365" s="30" t="s">
        <v>743</v>
      </c>
      <c r="F365" s="7">
        <v>4.7E-2</v>
      </c>
      <c r="G365" s="7">
        <v>6.0000000000000001E-3</v>
      </c>
      <c r="H365" s="23">
        <v>34.4</v>
      </c>
      <c r="I365" s="30" t="s">
        <v>296</v>
      </c>
      <c r="J365" s="22">
        <f t="shared" si="12"/>
        <v>6.0975368583458915E-3</v>
      </c>
      <c r="K365" s="22"/>
    </row>
    <row r="366" spans="1:11" x14ac:dyDescent="0.15">
      <c r="A366" s="43" t="s">
        <v>535</v>
      </c>
      <c r="B366" s="43" t="s">
        <v>925</v>
      </c>
      <c r="C366" s="43">
        <v>1.55</v>
      </c>
      <c r="D366" s="43" t="s">
        <v>536</v>
      </c>
      <c r="E366" s="43" t="s">
        <v>742</v>
      </c>
      <c r="F366" s="2">
        <v>1.07E-3</v>
      </c>
      <c r="G366" s="2">
        <v>3.0300000000000001E-2</v>
      </c>
      <c r="H366" s="40">
        <v>0</v>
      </c>
      <c r="I366" s="43" t="s">
        <v>537</v>
      </c>
      <c r="J366" s="22">
        <f t="shared" ref="J366:J416" si="13">F366*COS(RADIANS(H366))/(1060*G366)</f>
        <v>3.3314652219938973E-5</v>
      </c>
      <c r="K366" s="22" t="s">
        <v>658</v>
      </c>
    </row>
    <row r="367" spans="1:11" x14ac:dyDescent="0.15">
      <c r="A367" s="43" t="s">
        <v>535</v>
      </c>
      <c r="B367" s="43" t="s">
        <v>925</v>
      </c>
      <c r="C367" s="43">
        <v>1.55</v>
      </c>
      <c r="D367" s="43" t="s">
        <v>538</v>
      </c>
      <c r="E367" s="43" t="s">
        <v>742</v>
      </c>
      <c r="F367" s="2">
        <v>3.32E-3</v>
      </c>
      <c r="G367" s="2">
        <v>2.4099999999999996E-2</v>
      </c>
      <c r="H367" s="40">
        <v>0</v>
      </c>
      <c r="I367" s="43" t="s">
        <v>537</v>
      </c>
      <c r="J367" s="22">
        <f t="shared" si="13"/>
        <v>1.2996163782979725E-4</v>
      </c>
      <c r="K367" s="22"/>
    </row>
    <row r="368" spans="1:11" x14ac:dyDescent="0.15">
      <c r="A368" s="43" t="s">
        <v>535</v>
      </c>
      <c r="B368" s="43" t="s">
        <v>925</v>
      </c>
      <c r="C368" s="43">
        <v>1.55</v>
      </c>
      <c r="D368" s="43" t="s">
        <v>539</v>
      </c>
      <c r="E368" s="43" t="s">
        <v>742</v>
      </c>
      <c r="F368" s="2">
        <v>7.5000000000000002E-4</v>
      </c>
      <c r="G368" s="2">
        <v>3.3000000000000002E-2</v>
      </c>
      <c r="H368" s="40">
        <v>0</v>
      </c>
      <c r="I368" s="43" t="s">
        <v>537</v>
      </c>
      <c r="J368" s="22">
        <f t="shared" si="13"/>
        <v>2.1440823327615779E-5</v>
      </c>
      <c r="K368" s="22"/>
    </row>
    <row r="369" spans="1:11" x14ac:dyDescent="0.15">
      <c r="A369" s="43" t="s">
        <v>535</v>
      </c>
      <c r="B369" s="43" t="s">
        <v>925</v>
      </c>
      <c r="C369" s="43">
        <v>1.55</v>
      </c>
      <c r="D369" s="43" t="s">
        <v>540</v>
      </c>
      <c r="E369" s="43" t="s">
        <v>742</v>
      </c>
      <c r="F369" s="2">
        <v>6.2399999999999999E-3</v>
      </c>
      <c r="G369" s="2">
        <v>4.2900000000000008E-2</v>
      </c>
      <c r="H369" s="40">
        <v>0</v>
      </c>
      <c r="I369" s="43" t="s">
        <v>537</v>
      </c>
      <c r="J369" s="22">
        <f t="shared" si="13"/>
        <v>1.3722126929674095E-4</v>
      </c>
      <c r="K369" s="22"/>
    </row>
    <row r="370" spans="1:11" x14ac:dyDescent="0.15">
      <c r="A370" s="43" t="s">
        <v>535</v>
      </c>
      <c r="B370" s="43" t="s">
        <v>925</v>
      </c>
      <c r="C370" s="43">
        <v>1.55</v>
      </c>
      <c r="D370" s="43" t="s">
        <v>433</v>
      </c>
      <c r="E370" s="43" t="s">
        <v>742</v>
      </c>
      <c r="F370" s="2">
        <v>1.4E-3</v>
      </c>
      <c r="G370" s="2">
        <v>3.2599999999999997E-2</v>
      </c>
      <c r="H370" s="40">
        <v>0</v>
      </c>
      <c r="I370" s="43" t="s">
        <v>537</v>
      </c>
      <c r="J370" s="22">
        <f t="shared" si="13"/>
        <v>4.0513948373654358E-5</v>
      </c>
      <c r="K370" s="22"/>
    </row>
    <row r="371" spans="1:11" x14ac:dyDescent="0.15">
      <c r="A371" s="43" t="s">
        <v>535</v>
      </c>
      <c r="B371" s="43" t="s">
        <v>925</v>
      </c>
      <c r="C371" s="43">
        <v>1.55</v>
      </c>
      <c r="D371" s="43" t="s">
        <v>541</v>
      </c>
      <c r="E371" s="43" t="s">
        <v>742</v>
      </c>
      <c r="F371" s="2">
        <v>8.9300000000000004E-3</v>
      </c>
      <c r="G371" s="2">
        <v>6.6799999999999998E-2</v>
      </c>
      <c r="H371" s="40">
        <v>0</v>
      </c>
      <c r="I371" s="43" t="s">
        <v>537</v>
      </c>
      <c r="J371" s="22">
        <f t="shared" si="13"/>
        <v>1.2611569314201787E-4</v>
      </c>
      <c r="K371" s="22"/>
    </row>
    <row r="372" spans="1:11" x14ac:dyDescent="0.15">
      <c r="A372" s="43" t="s">
        <v>535</v>
      </c>
      <c r="B372" s="43" t="s">
        <v>925</v>
      </c>
      <c r="C372" s="43">
        <v>1.55</v>
      </c>
      <c r="D372" s="43" t="s">
        <v>434</v>
      </c>
      <c r="E372" s="43" t="s">
        <v>742</v>
      </c>
      <c r="F372" s="2">
        <v>1.34E-3</v>
      </c>
      <c r="G372" s="2">
        <v>2.8500000000000001E-2</v>
      </c>
      <c r="H372" s="40">
        <v>0</v>
      </c>
      <c r="I372" s="43" t="s">
        <v>537</v>
      </c>
      <c r="J372" s="22">
        <f t="shared" si="13"/>
        <v>4.435617345249917E-5</v>
      </c>
      <c r="K372" s="22"/>
    </row>
    <row r="373" spans="1:11" x14ac:dyDescent="0.15">
      <c r="A373" s="43" t="s">
        <v>535</v>
      </c>
      <c r="B373" s="43" t="s">
        <v>925</v>
      </c>
      <c r="C373" s="43">
        <v>1.55</v>
      </c>
      <c r="D373" s="43" t="s">
        <v>542</v>
      </c>
      <c r="E373" s="43" t="s">
        <v>742</v>
      </c>
      <c r="F373" s="2">
        <v>5.2999999999999998E-4</v>
      </c>
      <c r="G373" s="2">
        <v>2.2200000000000001E-2</v>
      </c>
      <c r="H373" s="40">
        <v>0</v>
      </c>
      <c r="I373" s="43" t="s">
        <v>537</v>
      </c>
      <c r="J373" s="22">
        <f t="shared" si="13"/>
        <v>2.2522522522522523E-5</v>
      </c>
      <c r="K373" s="22"/>
    </row>
    <row r="374" spans="1:11" x14ac:dyDescent="0.15">
      <c r="A374" s="43" t="s">
        <v>535</v>
      </c>
      <c r="B374" s="43" t="s">
        <v>925</v>
      </c>
      <c r="C374" s="43">
        <v>1.55</v>
      </c>
      <c r="D374" s="43" t="s">
        <v>438</v>
      </c>
      <c r="E374" s="43" t="s">
        <v>742</v>
      </c>
      <c r="F374" s="2">
        <v>3.1199999999999999E-3</v>
      </c>
      <c r="G374" s="2">
        <v>2.4099999999999996E-2</v>
      </c>
      <c r="H374" s="40">
        <v>24.1</v>
      </c>
      <c r="I374" s="43" t="s">
        <v>537</v>
      </c>
      <c r="J374" s="22">
        <f t="shared" si="13"/>
        <v>1.1148683288840108E-4</v>
      </c>
      <c r="K374" s="22"/>
    </row>
    <row r="375" spans="1:11" x14ac:dyDescent="0.15">
      <c r="A375" s="43" t="s">
        <v>535</v>
      </c>
      <c r="B375" s="43" t="s">
        <v>925</v>
      </c>
      <c r="C375" s="43">
        <v>1.55</v>
      </c>
      <c r="D375" s="43" t="s">
        <v>435</v>
      </c>
      <c r="E375" s="43" t="s">
        <v>742</v>
      </c>
      <c r="F375" s="2">
        <v>6.9999999999999994E-5</v>
      </c>
      <c r="G375" s="2">
        <v>7.1000000000000004E-3</v>
      </c>
      <c r="H375" s="40">
        <v>0</v>
      </c>
      <c r="I375" s="43" t="s">
        <v>537</v>
      </c>
      <c r="J375" s="22">
        <f t="shared" si="13"/>
        <v>9.3010895562051535E-6</v>
      </c>
      <c r="K375" s="22"/>
    </row>
    <row r="376" spans="1:11" x14ac:dyDescent="0.15">
      <c r="A376" s="43" t="s">
        <v>535</v>
      </c>
      <c r="B376" s="43" t="s">
        <v>925</v>
      </c>
      <c r="C376" s="43">
        <v>1.55</v>
      </c>
      <c r="D376" s="43" t="s">
        <v>543</v>
      </c>
      <c r="E376" s="43" t="s">
        <v>742</v>
      </c>
      <c r="F376" s="2">
        <v>1.2999999999999999E-4</v>
      </c>
      <c r="G376" s="2">
        <v>5.7000000000000002E-3</v>
      </c>
      <c r="H376" s="40">
        <v>0</v>
      </c>
      <c r="I376" s="43" t="s">
        <v>537</v>
      </c>
      <c r="J376" s="22">
        <f t="shared" si="13"/>
        <v>2.1516054286660045E-5</v>
      </c>
      <c r="K376" s="22"/>
    </row>
    <row r="377" spans="1:11" x14ac:dyDescent="0.15">
      <c r="A377" s="43" t="s">
        <v>535</v>
      </c>
      <c r="B377" s="43" t="s">
        <v>925</v>
      </c>
      <c r="C377" s="43">
        <v>1.55</v>
      </c>
      <c r="D377" s="43" t="s">
        <v>544</v>
      </c>
      <c r="E377" s="43" t="s">
        <v>742</v>
      </c>
      <c r="F377" s="2">
        <v>1.92E-3</v>
      </c>
      <c r="G377" s="2">
        <v>4.24E-2</v>
      </c>
      <c r="H377" s="40">
        <v>0</v>
      </c>
      <c r="I377" s="43" t="s">
        <v>537</v>
      </c>
      <c r="J377" s="22">
        <f t="shared" si="13"/>
        <v>4.2719829120683516E-5</v>
      </c>
      <c r="K377" s="22"/>
    </row>
    <row r="378" spans="1:11" x14ac:dyDescent="0.15">
      <c r="A378" s="43" t="s">
        <v>535</v>
      </c>
      <c r="B378" s="43" t="s">
        <v>925</v>
      </c>
      <c r="C378" s="43">
        <v>1.55</v>
      </c>
      <c r="D378" s="43" t="s">
        <v>429</v>
      </c>
      <c r="E378" s="43" t="s">
        <v>742</v>
      </c>
      <c r="F378" s="2">
        <v>3.0799999999999998E-3</v>
      </c>
      <c r="G378" s="2">
        <v>1.61E-2</v>
      </c>
      <c r="H378" s="40">
        <v>25.4</v>
      </c>
      <c r="I378" s="43" t="s">
        <v>537</v>
      </c>
      <c r="J378" s="22">
        <f t="shared" si="13"/>
        <v>1.6303015949952927E-4</v>
      </c>
      <c r="K378" s="22"/>
    </row>
    <row r="379" spans="1:11" x14ac:dyDescent="0.15">
      <c r="A379" s="43" t="s">
        <v>535</v>
      </c>
      <c r="B379" s="43" t="s">
        <v>925</v>
      </c>
      <c r="C379" s="43">
        <v>1.55</v>
      </c>
      <c r="D379" s="43" t="s">
        <v>431</v>
      </c>
      <c r="E379" s="43" t="s">
        <v>742</v>
      </c>
      <c r="F379" s="2">
        <v>7.9000000000000001E-4</v>
      </c>
      <c r="G379" s="2">
        <v>1.1299999999999999E-2</v>
      </c>
      <c r="H379" s="40">
        <v>25.3</v>
      </c>
      <c r="I379" s="43" t="s">
        <v>537</v>
      </c>
      <c r="J379" s="22">
        <f t="shared" si="13"/>
        <v>5.9628086010353556E-5</v>
      </c>
      <c r="K379" s="22"/>
    </row>
    <row r="380" spans="1:11" x14ac:dyDescent="0.15">
      <c r="A380" s="43" t="s">
        <v>535</v>
      </c>
      <c r="B380" s="43" t="s">
        <v>925</v>
      </c>
      <c r="C380" s="43">
        <v>1.55</v>
      </c>
      <c r="D380" s="43" t="s">
        <v>376</v>
      </c>
      <c r="E380" s="43" t="s">
        <v>742</v>
      </c>
      <c r="F380" s="2">
        <v>6.8000000000000005E-4</v>
      </c>
      <c r="G380" s="2">
        <v>2.0400000000000001E-2</v>
      </c>
      <c r="H380" s="40">
        <v>0</v>
      </c>
      <c r="I380" s="43" t="s">
        <v>537</v>
      </c>
      <c r="J380" s="22">
        <f t="shared" si="13"/>
        <v>3.1446540880503143E-5</v>
      </c>
      <c r="K380" s="22"/>
    </row>
    <row r="381" spans="1:11" x14ac:dyDescent="0.15">
      <c r="A381" s="43" t="s">
        <v>535</v>
      </c>
      <c r="B381" s="43" t="s">
        <v>925</v>
      </c>
      <c r="C381" s="43">
        <v>1.55</v>
      </c>
      <c r="D381" s="43" t="s">
        <v>430</v>
      </c>
      <c r="E381" s="43" t="s">
        <v>742</v>
      </c>
      <c r="F381" s="2">
        <v>1.99E-3</v>
      </c>
      <c r="G381" s="2">
        <v>1.03E-2</v>
      </c>
      <c r="H381" s="40">
        <v>24.3</v>
      </c>
      <c r="I381" s="43" t="s">
        <v>537</v>
      </c>
      <c r="J381" s="22">
        <f t="shared" si="13"/>
        <v>1.6611948346808355E-4</v>
      </c>
      <c r="K381" s="22"/>
    </row>
    <row r="382" spans="1:11" x14ac:dyDescent="0.15">
      <c r="A382" s="43" t="s">
        <v>535</v>
      </c>
      <c r="B382" s="43" t="s">
        <v>925</v>
      </c>
      <c r="C382" s="43">
        <v>1.55</v>
      </c>
      <c r="D382" s="43" t="s">
        <v>545</v>
      </c>
      <c r="E382" s="43" t="s">
        <v>742</v>
      </c>
      <c r="F382" s="2">
        <v>3.0300000000000001E-3</v>
      </c>
      <c r="G382" s="2">
        <v>1.06E-2</v>
      </c>
      <c r="H382" s="40">
        <v>26.4</v>
      </c>
      <c r="I382" s="43" t="s">
        <v>537</v>
      </c>
      <c r="J382" s="22">
        <f t="shared" si="13"/>
        <v>2.4154562420126565E-4</v>
      </c>
      <c r="K382" s="22"/>
    </row>
    <row r="383" spans="1:11" x14ac:dyDescent="0.15">
      <c r="A383" s="43" t="s">
        <v>535</v>
      </c>
      <c r="B383" s="43" t="s">
        <v>925</v>
      </c>
      <c r="C383" s="43">
        <v>1.55</v>
      </c>
      <c r="D383" s="43" t="s">
        <v>436</v>
      </c>
      <c r="E383" s="43" t="s">
        <v>742</v>
      </c>
      <c r="F383" s="2">
        <v>3.9300000000000003E-3</v>
      </c>
      <c r="G383" s="2">
        <v>2.35E-2</v>
      </c>
      <c r="H383" s="40">
        <v>0</v>
      </c>
      <c r="I383" s="43" t="s">
        <v>537</v>
      </c>
      <c r="J383" s="22">
        <f t="shared" si="13"/>
        <v>1.5776796467282218E-4</v>
      </c>
      <c r="K383" s="22"/>
    </row>
    <row r="384" spans="1:11" x14ac:dyDescent="0.15">
      <c r="A384" s="43" t="s">
        <v>535</v>
      </c>
      <c r="B384" s="43" t="s">
        <v>925</v>
      </c>
      <c r="C384" s="43">
        <v>1.55</v>
      </c>
      <c r="D384" s="43" t="s">
        <v>437</v>
      </c>
      <c r="E384" s="43" t="s">
        <v>742</v>
      </c>
      <c r="F384" s="2">
        <v>4.9399999999999999E-3</v>
      </c>
      <c r="G384" s="2">
        <v>1.5599999999999999E-2</v>
      </c>
      <c r="H384" s="40">
        <v>0</v>
      </c>
      <c r="I384" s="43" t="s">
        <v>537</v>
      </c>
      <c r="J384" s="22">
        <f t="shared" si="13"/>
        <v>2.9874213836477993E-4</v>
      </c>
      <c r="K384" s="22"/>
    </row>
    <row r="385" spans="1:11" x14ac:dyDescent="0.15">
      <c r="A385" s="43" t="s">
        <v>535</v>
      </c>
      <c r="B385" s="43" t="s">
        <v>925</v>
      </c>
      <c r="C385" s="43">
        <v>1.55</v>
      </c>
      <c r="D385" s="43" t="s">
        <v>439</v>
      </c>
      <c r="E385" s="43" t="s">
        <v>742</v>
      </c>
      <c r="F385" s="2">
        <v>9.0000000000000006E-5</v>
      </c>
      <c r="G385" s="2">
        <v>5.5999999999999991E-3</v>
      </c>
      <c r="H385" s="40">
        <v>0</v>
      </c>
      <c r="I385" s="43" t="s">
        <v>537</v>
      </c>
      <c r="J385" s="22">
        <f t="shared" si="13"/>
        <v>1.5161725067385448E-5</v>
      </c>
      <c r="K385" s="22"/>
    </row>
    <row r="386" spans="1:11" x14ac:dyDescent="0.15">
      <c r="A386" s="43" t="s">
        <v>535</v>
      </c>
      <c r="B386" s="43" t="s">
        <v>925</v>
      </c>
      <c r="C386" s="43">
        <v>1.55</v>
      </c>
      <c r="D386" s="43" t="s">
        <v>371</v>
      </c>
      <c r="E386" s="43" t="s">
        <v>742</v>
      </c>
      <c r="F386" s="2">
        <v>2.3400000000000001E-3</v>
      </c>
      <c r="G386" s="2">
        <v>1.72E-2</v>
      </c>
      <c r="H386" s="40">
        <v>0</v>
      </c>
      <c r="I386" s="43" t="s">
        <v>537</v>
      </c>
      <c r="J386" s="22">
        <f>F386*COS(RADIANS(H386))/(1060*G386)</f>
        <v>1.2834576568670469E-4</v>
      </c>
      <c r="K386" s="22"/>
    </row>
    <row r="387" spans="1:11" x14ac:dyDescent="0.15">
      <c r="A387" s="43" t="s">
        <v>535</v>
      </c>
      <c r="B387" s="43" t="s">
        <v>925</v>
      </c>
      <c r="C387" s="43">
        <v>1.55</v>
      </c>
      <c r="D387" s="43" t="s">
        <v>554</v>
      </c>
      <c r="E387" s="43" t="s">
        <v>742</v>
      </c>
      <c r="F387" s="2">
        <v>1.2700000000000001E-3</v>
      </c>
      <c r="G387" s="2">
        <v>2.3700000000000002E-2</v>
      </c>
      <c r="H387" s="40">
        <v>0</v>
      </c>
      <c r="I387" s="43" t="s">
        <v>537</v>
      </c>
      <c r="J387" s="22">
        <f>F387*COS(RADIANS(H387))/(1060*G387)</f>
        <v>5.0553299896505052E-5</v>
      </c>
      <c r="K387" s="22"/>
    </row>
    <row r="388" spans="1:11" x14ac:dyDescent="0.15">
      <c r="A388" s="43" t="s">
        <v>535</v>
      </c>
      <c r="B388" s="43" t="s">
        <v>925</v>
      </c>
      <c r="C388" s="43">
        <v>1.55</v>
      </c>
      <c r="D388" s="43" t="s">
        <v>392</v>
      </c>
      <c r="E388" s="43" t="s">
        <v>742</v>
      </c>
      <c r="F388" s="2">
        <v>2.1000000000000001E-4</v>
      </c>
      <c r="G388" s="2">
        <v>4.3E-3</v>
      </c>
      <c r="H388" s="40">
        <v>28.1</v>
      </c>
      <c r="I388" s="43" t="s">
        <v>537</v>
      </c>
      <c r="J388" s="22">
        <f>F388*COS(RADIANS(H388))/(1060*G388)</f>
        <v>4.0642089044254109E-5</v>
      </c>
      <c r="K388" s="22"/>
    </row>
    <row r="389" spans="1:11" x14ac:dyDescent="0.15">
      <c r="A389" s="43" t="s">
        <v>535</v>
      </c>
      <c r="B389" s="43" t="s">
        <v>925</v>
      </c>
      <c r="C389" s="43">
        <v>1.55</v>
      </c>
      <c r="D389" s="43" t="s">
        <v>546</v>
      </c>
      <c r="E389" s="43" t="s">
        <v>743</v>
      </c>
      <c r="F389" s="2">
        <v>1.9000000000000001E-4</v>
      </c>
      <c r="G389" s="2">
        <v>1.15E-2</v>
      </c>
      <c r="H389" s="40">
        <v>0</v>
      </c>
      <c r="I389" s="43" t="s">
        <v>537</v>
      </c>
      <c r="J389" s="22">
        <f>F389*COS(RADIANS(H389))/(1060*G389)</f>
        <v>1.5586546349466776E-5</v>
      </c>
      <c r="K389" s="22"/>
    </row>
    <row r="390" spans="1:11" x14ac:dyDescent="0.15">
      <c r="A390" s="43" t="s">
        <v>535</v>
      </c>
      <c r="B390" s="43" t="s">
        <v>925</v>
      </c>
      <c r="C390" s="43">
        <v>1.55</v>
      </c>
      <c r="D390" s="43" t="s">
        <v>442</v>
      </c>
      <c r="E390" s="43" t="s">
        <v>743</v>
      </c>
      <c r="F390" s="2">
        <v>9.5E-4</v>
      </c>
      <c r="G390" s="2">
        <v>7.6000000000000009E-3</v>
      </c>
      <c r="H390" s="40">
        <v>21.5</v>
      </c>
      <c r="I390" s="43" t="s">
        <v>537</v>
      </c>
      <c r="J390" s="22">
        <f t="shared" si="13"/>
        <v>1.0971905282806892E-4</v>
      </c>
      <c r="K390" s="22"/>
    </row>
    <row r="391" spans="1:11" x14ac:dyDescent="0.15">
      <c r="A391" s="43" t="s">
        <v>535</v>
      </c>
      <c r="B391" s="43" t="s">
        <v>925</v>
      </c>
      <c r="C391" s="43">
        <v>1.55</v>
      </c>
      <c r="D391" s="43" t="s">
        <v>8</v>
      </c>
      <c r="E391" s="43" t="s">
        <v>743</v>
      </c>
      <c r="F391" s="2">
        <v>3.3E-4</v>
      </c>
      <c r="G391" s="2">
        <v>8.8999999999999999E-3</v>
      </c>
      <c r="H391" s="40">
        <v>18.7</v>
      </c>
      <c r="I391" s="43" t="s">
        <v>537</v>
      </c>
      <c r="J391" s="22">
        <f t="shared" si="13"/>
        <v>3.3133282982424165E-5</v>
      </c>
      <c r="K391" s="22"/>
    </row>
    <row r="392" spans="1:11" x14ac:dyDescent="0.15">
      <c r="A392" s="43" t="s">
        <v>535</v>
      </c>
      <c r="B392" s="43" t="s">
        <v>925</v>
      </c>
      <c r="C392" s="43">
        <v>1.55</v>
      </c>
      <c r="D392" s="43" t="s">
        <v>443</v>
      </c>
      <c r="E392" s="43" t="s">
        <v>743</v>
      </c>
      <c r="F392" s="2">
        <v>6.3000000000000003E-4</v>
      </c>
      <c r="G392" s="2">
        <v>1.4599999999999998E-2</v>
      </c>
      <c r="H392" s="40">
        <v>21.8</v>
      </c>
      <c r="I392" s="43" t="s">
        <v>537</v>
      </c>
      <c r="J392" s="22">
        <f t="shared" si="13"/>
        <v>3.7796980546328224E-5</v>
      </c>
      <c r="K392" s="22"/>
    </row>
    <row r="393" spans="1:11" x14ac:dyDescent="0.15">
      <c r="A393" s="43" t="s">
        <v>535</v>
      </c>
      <c r="B393" s="43" t="s">
        <v>925</v>
      </c>
      <c r="C393" s="43">
        <v>1.55</v>
      </c>
      <c r="D393" s="43" t="s">
        <v>547</v>
      </c>
      <c r="E393" s="43" t="s">
        <v>743</v>
      </c>
      <c r="F393" s="2">
        <v>1.3999999999999999E-4</v>
      </c>
      <c r="G393" s="2">
        <v>1.1900000000000001E-2</v>
      </c>
      <c r="H393" s="40">
        <v>20.6</v>
      </c>
      <c r="I393" s="43" t="s">
        <v>537</v>
      </c>
      <c r="J393" s="22">
        <f t="shared" si="13"/>
        <v>1.0389118043717792E-5</v>
      </c>
      <c r="K393" s="22"/>
    </row>
    <row r="394" spans="1:11" x14ac:dyDescent="0.15">
      <c r="A394" s="43" t="s">
        <v>535</v>
      </c>
      <c r="B394" s="43" t="s">
        <v>925</v>
      </c>
      <c r="C394" s="43">
        <v>1.55</v>
      </c>
      <c r="D394" s="43" t="s">
        <v>548</v>
      </c>
      <c r="E394" s="43" t="s">
        <v>743</v>
      </c>
      <c r="F394" s="2">
        <v>4.8999999999999998E-4</v>
      </c>
      <c r="G394" s="2">
        <v>7.6000000000000009E-3</v>
      </c>
      <c r="H394" s="40">
        <v>25.8</v>
      </c>
      <c r="I394" s="43" t="s">
        <v>537</v>
      </c>
      <c r="J394" s="22">
        <f t="shared" si="13"/>
        <v>5.4761196373767968E-5</v>
      </c>
      <c r="K394" s="22"/>
    </row>
    <row r="395" spans="1:11" x14ac:dyDescent="0.15">
      <c r="A395" s="43" t="s">
        <v>535</v>
      </c>
      <c r="B395" s="43" t="s">
        <v>925</v>
      </c>
      <c r="C395" s="43">
        <v>1.55</v>
      </c>
      <c r="D395" s="43" t="s">
        <v>549</v>
      </c>
      <c r="E395" s="43" t="s">
        <v>743</v>
      </c>
      <c r="F395" s="2">
        <v>7.2000000000000005E-4</v>
      </c>
      <c r="G395" s="2">
        <v>2.9399999999999999E-2</v>
      </c>
      <c r="H395" s="40">
        <v>0</v>
      </c>
      <c r="I395" s="43" t="s">
        <v>537</v>
      </c>
      <c r="J395" s="22">
        <f t="shared" si="13"/>
        <v>2.3103581055063537E-5</v>
      </c>
      <c r="K395" s="22"/>
    </row>
    <row r="396" spans="1:11" x14ac:dyDescent="0.15">
      <c r="A396" s="43" t="s">
        <v>535</v>
      </c>
      <c r="B396" s="43" t="s">
        <v>925</v>
      </c>
      <c r="C396" s="43">
        <v>1.55</v>
      </c>
      <c r="D396" s="43" t="s">
        <v>550</v>
      </c>
      <c r="E396" s="43" t="s">
        <v>743</v>
      </c>
      <c r="F396" s="2">
        <v>8.9999999999999998E-4</v>
      </c>
      <c r="G396" s="2">
        <v>0.02</v>
      </c>
      <c r="H396" s="40">
        <v>0</v>
      </c>
      <c r="I396" s="43" t="s">
        <v>537</v>
      </c>
      <c r="J396" s="22">
        <f t="shared" si="13"/>
        <v>4.2452830188679249E-5</v>
      </c>
      <c r="K396" s="22"/>
    </row>
    <row r="397" spans="1:11" x14ac:dyDescent="0.15">
      <c r="A397" s="43" t="s">
        <v>535</v>
      </c>
      <c r="B397" s="43" t="s">
        <v>925</v>
      </c>
      <c r="C397" s="43">
        <v>1.55</v>
      </c>
      <c r="D397" s="43" t="s">
        <v>551</v>
      </c>
      <c r="E397" s="43" t="s">
        <v>743</v>
      </c>
      <c r="F397" s="2">
        <v>5.4000000000000001E-4</v>
      </c>
      <c r="G397" s="2">
        <v>3.5999999999999997E-2</v>
      </c>
      <c r="H397" s="40">
        <v>0</v>
      </c>
      <c r="I397" s="43" t="s">
        <v>537</v>
      </c>
      <c r="J397" s="22">
        <f t="shared" si="13"/>
        <v>1.4150943396226417E-5</v>
      </c>
      <c r="K397" s="22"/>
    </row>
    <row r="398" spans="1:11" x14ac:dyDescent="0.15">
      <c r="A398" s="43" t="s">
        <v>535</v>
      </c>
      <c r="B398" s="43" t="s">
        <v>925</v>
      </c>
      <c r="C398" s="43">
        <v>1.55</v>
      </c>
      <c r="D398" s="43" t="s">
        <v>388</v>
      </c>
      <c r="E398" s="43" t="s">
        <v>743</v>
      </c>
      <c r="F398" s="2">
        <v>9.7999999999999997E-4</v>
      </c>
      <c r="G398" s="2">
        <v>9.300000000000001E-3</v>
      </c>
      <c r="H398" s="40">
        <v>0</v>
      </c>
      <c r="I398" s="43" t="s">
        <v>537</v>
      </c>
      <c r="J398" s="22">
        <f t="shared" si="13"/>
        <v>9.9411645364171216E-5</v>
      </c>
      <c r="K398" s="22"/>
    </row>
    <row r="399" spans="1:11" x14ac:dyDescent="0.15">
      <c r="A399" s="43" t="s">
        <v>535</v>
      </c>
      <c r="B399" s="43" t="s">
        <v>925</v>
      </c>
      <c r="C399" s="43">
        <v>1.55</v>
      </c>
      <c r="D399" s="43" t="s">
        <v>369</v>
      </c>
      <c r="E399" s="43" t="s">
        <v>743</v>
      </c>
      <c r="F399" s="2">
        <v>1.17E-3</v>
      </c>
      <c r="G399" s="2">
        <v>9.7000000000000003E-3</v>
      </c>
      <c r="H399" s="40">
        <v>26.3</v>
      </c>
      <c r="I399" s="43" t="s">
        <v>537</v>
      </c>
      <c r="J399" s="22">
        <f t="shared" si="13"/>
        <v>1.0201216918387721E-4</v>
      </c>
      <c r="K399" s="22"/>
    </row>
    <row r="400" spans="1:11" x14ac:dyDescent="0.15">
      <c r="A400" s="43" t="s">
        <v>535</v>
      </c>
      <c r="B400" s="43" t="s">
        <v>925</v>
      </c>
      <c r="C400" s="43">
        <v>1.55</v>
      </c>
      <c r="D400" s="43" t="s">
        <v>552</v>
      </c>
      <c r="E400" s="43" t="s">
        <v>743</v>
      </c>
      <c r="F400" s="2">
        <v>9.3000000000000005E-4</v>
      </c>
      <c r="G400" s="2">
        <v>9.8999999999999991E-3</v>
      </c>
      <c r="H400" s="40">
        <v>23.7</v>
      </c>
      <c r="I400" s="43" t="s">
        <v>537</v>
      </c>
      <c r="J400" s="22">
        <f t="shared" si="13"/>
        <v>8.11479142182001E-5</v>
      </c>
      <c r="K400" s="22"/>
    </row>
    <row r="401" spans="1:11" x14ac:dyDescent="0.15">
      <c r="A401" s="43" t="s">
        <v>535</v>
      </c>
      <c r="B401" s="43" t="s">
        <v>925</v>
      </c>
      <c r="C401" s="43">
        <v>1.55</v>
      </c>
      <c r="D401" s="43" t="s">
        <v>553</v>
      </c>
      <c r="E401" s="43" t="s">
        <v>743</v>
      </c>
      <c r="F401" s="2">
        <v>1.0200000000000001E-3</v>
      </c>
      <c r="G401" s="2">
        <v>8.199999999999999E-3</v>
      </c>
      <c r="H401" s="40">
        <v>22.2</v>
      </c>
      <c r="I401" s="43" t="s">
        <v>537</v>
      </c>
      <c r="J401" s="22">
        <f t="shared" si="13"/>
        <v>1.0865025270434824E-4</v>
      </c>
      <c r="K401" s="22"/>
    </row>
    <row r="402" spans="1:11" x14ac:dyDescent="0.15">
      <c r="A402" s="43" t="s">
        <v>535</v>
      </c>
      <c r="B402" s="43" t="s">
        <v>925</v>
      </c>
      <c r="C402" s="43">
        <v>1.55</v>
      </c>
      <c r="D402" s="43" t="s">
        <v>446</v>
      </c>
      <c r="E402" s="43" t="s">
        <v>743</v>
      </c>
      <c r="F402" s="2">
        <v>5.8E-4</v>
      </c>
      <c r="G402" s="2">
        <v>8.3000000000000001E-3</v>
      </c>
      <c r="H402" s="40">
        <v>26.2</v>
      </c>
      <c r="I402" s="43" t="s">
        <v>537</v>
      </c>
      <c r="J402" s="22">
        <f t="shared" si="13"/>
        <v>5.9150926848273533E-5</v>
      </c>
      <c r="K402" s="22"/>
    </row>
    <row r="403" spans="1:11" x14ac:dyDescent="0.15">
      <c r="A403" s="43" t="s">
        <v>535</v>
      </c>
      <c r="B403" s="43" t="s">
        <v>925</v>
      </c>
      <c r="C403" s="43">
        <v>1.55</v>
      </c>
      <c r="D403" s="43" t="s">
        <v>447</v>
      </c>
      <c r="E403" s="43" t="s">
        <v>743</v>
      </c>
      <c r="F403" s="2">
        <v>3.3800000000000002E-3</v>
      </c>
      <c r="G403" s="2">
        <v>1.24E-2</v>
      </c>
      <c r="H403" s="40">
        <v>24</v>
      </c>
      <c r="I403" s="43" t="s">
        <v>537</v>
      </c>
      <c r="J403" s="22">
        <f t="shared" si="13"/>
        <v>2.3491963229093054E-4</v>
      </c>
      <c r="K403" s="22"/>
    </row>
    <row r="404" spans="1:11" x14ac:dyDescent="0.15">
      <c r="A404" s="43" t="s">
        <v>535</v>
      </c>
      <c r="B404" s="43" t="s">
        <v>925</v>
      </c>
      <c r="C404" s="43">
        <v>1.55</v>
      </c>
      <c r="D404" s="43" t="s">
        <v>387</v>
      </c>
      <c r="E404" s="43" t="s">
        <v>743</v>
      </c>
      <c r="F404" s="2">
        <v>1.2999999999999999E-4</v>
      </c>
      <c r="G404" s="2">
        <v>3.6000000000000003E-3</v>
      </c>
      <c r="H404" s="40">
        <v>0</v>
      </c>
      <c r="I404" s="43" t="s">
        <v>537</v>
      </c>
      <c r="J404" s="22">
        <f t="shared" si="13"/>
        <v>3.4067085953878398E-5</v>
      </c>
      <c r="K404" s="22"/>
    </row>
    <row r="405" spans="1:11" x14ac:dyDescent="0.15">
      <c r="A405" s="24" t="s">
        <v>555</v>
      </c>
      <c r="B405" s="24" t="s">
        <v>925</v>
      </c>
      <c r="C405" s="24">
        <v>3.97</v>
      </c>
      <c r="D405" s="24" t="s">
        <v>541</v>
      </c>
      <c r="E405" s="24" t="s">
        <v>742</v>
      </c>
      <c r="F405" s="26">
        <v>2.3599999999999999E-2</v>
      </c>
      <c r="G405" s="26">
        <v>0.123</v>
      </c>
      <c r="H405" s="14">
        <v>0</v>
      </c>
      <c r="I405" s="24" t="s">
        <v>556</v>
      </c>
      <c r="J405" s="22">
        <f t="shared" si="13"/>
        <v>1.8100935726338396E-4</v>
      </c>
      <c r="K405" s="22" t="s">
        <v>659</v>
      </c>
    </row>
    <row r="406" spans="1:11" x14ac:dyDescent="0.15">
      <c r="A406" s="24" t="s">
        <v>555</v>
      </c>
      <c r="B406" s="24" t="s">
        <v>925</v>
      </c>
      <c r="C406" s="24">
        <v>3.97</v>
      </c>
      <c r="D406" s="24" t="s">
        <v>557</v>
      </c>
      <c r="E406" s="24" t="s">
        <v>742</v>
      </c>
      <c r="F406" s="26">
        <v>1.4999999999999999E-2</v>
      </c>
      <c r="G406" s="26">
        <v>8.2000000000000003E-2</v>
      </c>
      <c r="H406" s="14">
        <v>0</v>
      </c>
      <c r="I406" s="24" t="s">
        <v>556</v>
      </c>
      <c r="J406" s="22">
        <f t="shared" si="13"/>
        <v>1.7257248044178554E-4</v>
      </c>
      <c r="K406" s="22"/>
    </row>
    <row r="407" spans="1:11" x14ac:dyDescent="0.15">
      <c r="A407" s="24" t="s">
        <v>555</v>
      </c>
      <c r="B407" s="24" t="s">
        <v>925</v>
      </c>
      <c r="C407" s="24">
        <v>3.97</v>
      </c>
      <c r="D407" s="24" t="s">
        <v>558</v>
      </c>
      <c r="E407" s="24" t="s">
        <v>742</v>
      </c>
      <c r="F407" s="26">
        <v>8.2000000000000007E-3</v>
      </c>
      <c r="G407" s="26">
        <v>7.1999999999999995E-2</v>
      </c>
      <c r="H407" s="14">
        <v>0</v>
      </c>
      <c r="I407" s="24" t="s">
        <v>556</v>
      </c>
      <c r="J407" s="22">
        <f t="shared" si="13"/>
        <v>1.0744234800838576E-4</v>
      </c>
      <c r="K407" s="22"/>
    </row>
    <row r="408" spans="1:11" x14ac:dyDescent="0.15">
      <c r="A408" s="24" t="s">
        <v>555</v>
      </c>
      <c r="B408" s="24" t="s">
        <v>925</v>
      </c>
      <c r="C408" s="24">
        <v>3.97</v>
      </c>
      <c r="D408" s="24" t="s">
        <v>559</v>
      </c>
      <c r="E408" s="24" t="s">
        <v>742</v>
      </c>
      <c r="F408" s="26">
        <v>4.0000000000000001E-3</v>
      </c>
      <c r="G408" s="26">
        <v>8.2000000000000003E-2</v>
      </c>
      <c r="H408" s="14">
        <v>0</v>
      </c>
      <c r="I408" s="24" t="s">
        <v>556</v>
      </c>
      <c r="J408" s="22">
        <f t="shared" si="13"/>
        <v>4.6019328117809481E-5</v>
      </c>
      <c r="K408" s="22"/>
    </row>
    <row r="409" spans="1:11" x14ac:dyDescent="0.15">
      <c r="A409" s="24" t="s">
        <v>555</v>
      </c>
      <c r="B409" s="24" t="s">
        <v>925</v>
      </c>
      <c r="C409" s="24">
        <v>3.97</v>
      </c>
      <c r="D409" s="24" t="s">
        <v>560</v>
      </c>
      <c r="E409" s="24" t="s">
        <v>742</v>
      </c>
      <c r="F409" s="26">
        <v>4.1000000000000003E-3</v>
      </c>
      <c r="G409" s="26">
        <v>9.4E-2</v>
      </c>
      <c r="H409" s="14">
        <v>0</v>
      </c>
      <c r="I409" s="24" t="s">
        <v>556</v>
      </c>
      <c r="J409" s="22">
        <f t="shared" si="13"/>
        <v>4.1148133279807309E-5</v>
      </c>
      <c r="K409" s="22"/>
    </row>
    <row r="410" spans="1:11" x14ac:dyDescent="0.15">
      <c r="A410" s="24" t="s">
        <v>555</v>
      </c>
      <c r="B410" s="24" t="s">
        <v>925</v>
      </c>
      <c r="C410" s="24">
        <v>3.97</v>
      </c>
      <c r="D410" s="24" t="s">
        <v>561</v>
      </c>
      <c r="E410" s="24" t="s">
        <v>742</v>
      </c>
      <c r="F410" s="26">
        <v>9.9000000000000008E-3</v>
      </c>
      <c r="G410" s="26">
        <v>7.2999999999999995E-2</v>
      </c>
      <c r="H410" s="14">
        <v>0</v>
      </c>
      <c r="I410" s="24" t="s">
        <v>556</v>
      </c>
      <c r="J410" s="22">
        <f t="shared" si="13"/>
        <v>1.2794003618506075E-4</v>
      </c>
      <c r="K410" s="22"/>
    </row>
    <row r="411" spans="1:11" x14ac:dyDescent="0.15">
      <c r="A411" s="24" t="s">
        <v>555</v>
      </c>
      <c r="B411" s="24" t="s">
        <v>925</v>
      </c>
      <c r="C411" s="24">
        <v>3.97</v>
      </c>
      <c r="D411" s="24" t="s">
        <v>434</v>
      </c>
      <c r="E411" s="24" t="s">
        <v>742</v>
      </c>
      <c r="F411" s="26">
        <v>9.7000000000000003E-3</v>
      </c>
      <c r="G411" s="26">
        <v>5.7000000000000002E-2</v>
      </c>
      <c r="H411" s="14">
        <v>0</v>
      </c>
      <c r="I411" s="24" t="s">
        <v>556</v>
      </c>
      <c r="J411" s="22">
        <f t="shared" si="13"/>
        <v>1.6054286660046344E-4</v>
      </c>
      <c r="K411" s="22"/>
    </row>
    <row r="412" spans="1:11" x14ac:dyDescent="0.15">
      <c r="A412" s="24" t="s">
        <v>555</v>
      </c>
      <c r="B412" s="24" t="s">
        <v>925</v>
      </c>
      <c r="C412" s="24">
        <v>3.97</v>
      </c>
      <c r="D412" s="24" t="s">
        <v>435</v>
      </c>
      <c r="E412" s="24" t="s">
        <v>742</v>
      </c>
      <c r="F412" s="26">
        <v>2.9999999999999997E-4</v>
      </c>
      <c r="G412" s="26">
        <v>2.5000000000000001E-2</v>
      </c>
      <c r="H412" s="14">
        <v>0</v>
      </c>
      <c r="I412" s="24" t="s">
        <v>556</v>
      </c>
      <c r="J412" s="22">
        <f t="shared" si="13"/>
        <v>1.1320754716981131E-5</v>
      </c>
      <c r="K412" s="22"/>
    </row>
    <row r="413" spans="1:11" x14ac:dyDescent="0.15">
      <c r="A413" s="24" t="s">
        <v>555</v>
      </c>
      <c r="B413" s="24" t="s">
        <v>925</v>
      </c>
      <c r="C413" s="24">
        <v>3.97</v>
      </c>
      <c r="D413" s="24" t="s">
        <v>430</v>
      </c>
      <c r="E413" s="24" t="s">
        <v>742</v>
      </c>
      <c r="F413" s="26">
        <v>3.8E-3</v>
      </c>
      <c r="G413" s="26">
        <v>2.3E-2</v>
      </c>
      <c r="H413" s="14">
        <v>22</v>
      </c>
      <c r="I413" s="24" t="s">
        <v>556</v>
      </c>
      <c r="J413" s="22">
        <f t="shared" si="13"/>
        <v>1.4451594123682495E-4</v>
      </c>
      <c r="K413" s="22"/>
    </row>
    <row r="414" spans="1:11" x14ac:dyDescent="0.15">
      <c r="A414" s="24" t="s">
        <v>555</v>
      </c>
      <c r="B414" s="24" t="s">
        <v>925</v>
      </c>
      <c r="C414" s="24">
        <v>3.97</v>
      </c>
      <c r="D414" s="24" t="s">
        <v>429</v>
      </c>
      <c r="E414" s="24" t="s">
        <v>742</v>
      </c>
      <c r="F414" s="26">
        <v>4.1000000000000003E-3</v>
      </c>
      <c r="G414" s="26">
        <v>3.5000000000000003E-2</v>
      </c>
      <c r="H414" s="14">
        <v>0</v>
      </c>
      <c r="I414" s="24" t="s">
        <v>556</v>
      </c>
      <c r="J414" s="22">
        <f t="shared" si="13"/>
        <v>1.1051212938005391E-4</v>
      </c>
      <c r="K414" s="22"/>
    </row>
    <row r="415" spans="1:11" x14ac:dyDescent="0.15">
      <c r="A415" s="24" t="s">
        <v>555</v>
      </c>
      <c r="B415" s="24" t="s">
        <v>925</v>
      </c>
      <c r="C415" s="24">
        <v>3.97</v>
      </c>
      <c r="D415" s="24" t="s">
        <v>545</v>
      </c>
      <c r="E415" s="24" t="s">
        <v>742</v>
      </c>
      <c r="F415" s="26">
        <v>9.5999999999999992E-3</v>
      </c>
      <c r="G415" s="26">
        <v>2.4E-2</v>
      </c>
      <c r="H415" s="14">
        <v>24</v>
      </c>
      <c r="I415" s="24" t="s">
        <v>556</v>
      </c>
      <c r="J415" s="22">
        <f t="shared" si="13"/>
        <v>3.4473413495947201E-4</v>
      </c>
      <c r="K415" s="22"/>
    </row>
    <row r="416" spans="1:11" x14ac:dyDescent="0.15">
      <c r="A416" s="24" t="s">
        <v>555</v>
      </c>
      <c r="B416" s="24" t="s">
        <v>925</v>
      </c>
      <c r="C416" s="24">
        <v>3.97</v>
      </c>
      <c r="D416" s="24" t="s">
        <v>562</v>
      </c>
      <c r="E416" s="24" t="s">
        <v>742</v>
      </c>
      <c r="F416" s="26">
        <v>1E-3</v>
      </c>
      <c r="G416" s="26">
        <v>1.7999999999999999E-2</v>
      </c>
      <c r="H416" s="14">
        <v>15</v>
      </c>
      <c r="I416" s="24" t="s">
        <v>556</v>
      </c>
      <c r="J416" s="22">
        <f t="shared" si="13"/>
        <v>5.0625043306554954E-5</v>
      </c>
      <c r="K416" s="22"/>
    </row>
    <row r="417" spans="1:11" x14ac:dyDescent="0.15">
      <c r="A417" s="24" t="s">
        <v>555</v>
      </c>
      <c r="B417" s="24" t="s">
        <v>925</v>
      </c>
      <c r="C417" s="24">
        <v>3.97</v>
      </c>
      <c r="D417" s="24" t="s">
        <v>543</v>
      </c>
      <c r="E417" s="24" t="s">
        <v>742</v>
      </c>
      <c r="F417" s="26">
        <v>2.9999999999999997E-4</v>
      </c>
      <c r="G417" s="26">
        <v>2.7E-2</v>
      </c>
      <c r="H417" s="14">
        <v>0</v>
      </c>
      <c r="I417" s="24" t="s">
        <v>556</v>
      </c>
      <c r="J417" s="22">
        <f t="shared" ref="J417:J445" si="14">F417*COS(RADIANS(H417))/(1060*G417)</f>
        <v>1.0482180293501048E-5</v>
      </c>
      <c r="K417" s="22"/>
    </row>
    <row r="418" spans="1:11" x14ac:dyDescent="0.15">
      <c r="A418" s="24" t="s">
        <v>555</v>
      </c>
      <c r="B418" s="24" t="s">
        <v>925</v>
      </c>
      <c r="C418" s="24">
        <v>3.97</v>
      </c>
      <c r="D418" s="24" t="s">
        <v>563</v>
      </c>
      <c r="E418" s="24" t="s">
        <v>742</v>
      </c>
      <c r="F418" s="26">
        <v>1.1999999999999999E-3</v>
      </c>
      <c r="G418" s="26">
        <v>5.7000000000000002E-2</v>
      </c>
      <c r="H418" s="14">
        <v>11</v>
      </c>
      <c r="I418" s="24" t="s">
        <v>556</v>
      </c>
      <c r="J418" s="22">
        <f t="shared" si="14"/>
        <v>1.9496071170757971E-5</v>
      </c>
      <c r="K418" s="22"/>
    </row>
    <row r="419" spans="1:11" x14ac:dyDescent="0.15">
      <c r="A419" s="24" t="s">
        <v>555</v>
      </c>
      <c r="B419" s="24" t="s">
        <v>925</v>
      </c>
      <c r="C419" s="24">
        <v>3.97</v>
      </c>
      <c r="D419" s="24" t="s">
        <v>564</v>
      </c>
      <c r="E419" s="24" t="s">
        <v>742</v>
      </c>
      <c r="F419" s="26">
        <v>2.5000000000000001E-3</v>
      </c>
      <c r="G419" s="26">
        <v>3.5999999999999997E-2</v>
      </c>
      <c r="H419" s="14">
        <v>15</v>
      </c>
      <c r="I419" s="24" t="s">
        <v>556</v>
      </c>
      <c r="J419" s="22">
        <f t="shared" si="14"/>
        <v>6.3281304133193692E-5</v>
      </c>
      <c r="K419" s="22"/>
    </row>
    <row r="420" spans="1:11" x14ac:dyDescent="0.15">
      <c r="A420" s="24" t="s">
        <v>555</v>
      </c>
      <c r="B420" s="24" t="s">
        <v>925</v>
      </c>
      <c r="C420" s="24">
        <v>3.97</v>
      </c>
      <c r="D420" s="24" t="s">
        <v>565</v>
      </c>
      <c r="E420" s="24" t="s">
        <v>742</v>
      </c>
      <c r="F420" s="26">
        <v>3.7000000000000002E-3</v>
      </c>
      <c r="G420" s="26">
        <v>4.4999999999999998E-2</v>
      </c>
      <c r="H420" s="14">
        <v>0</v>
      </c>
      <c r="I420" s="24" t="s">
        <v>556</v>
      </c>
      <c r="J420" s="22">
        <f t="shared" si="14"/>
        <v>7.7568134171907769E-5</v>
      </c>
      <c r="K420" s="22"/>
    </row>
    <row r="421" spans="1:11" x14ac:dyDescent="0.15">
      <c r="A421" s="24" t="s">
        <v>555</v>
      </c>
      <c r="B421" s="24" t="s">
        <v>925</v>
      </c>
      <c r="C421" s="24">
        <v>3.97</v>
      </c>
      <c r="D421" s="24" t="s">
        <v>554</v>
      </c>
      <c r="E421" s="24" t="s">
        <v>742</v>
      </c>
      <c r="F421" s="26">
        <v>4.1999999999999997E-3</v>
      </c>
      <c r="G421" s="26">
        <v>6.7000000000000004E-2</v>
      </c>
      <c r="H421" s="14">
        <v>13</v>
      </c>
      <c r="I421" s="24" t="s">
        <v>556</v>
      </c>
      <c r="J421" s="22">
        <f t="shared" si="14"/>
        <v>5.7622560857476582E-5</v>
      </c>
      <c r="K421" s="22"/>
    </row>
    <row r="422" spans="1:11" x14ac:dyDescent="0.15">
      <c r="A422" s="24" t="s">
        <v>555</v>
      </c>
      <c r="B422" s="24" t="s">
        <v>925</v>
      </c>
      <c r="C422" s="24">
        <v>3.97</v>
      </c>
      <c r="D422" s="24" t="s">
        <v>437</v>
      </c>
      <c r="E422" s="24" t="s">
        <v>742</v>
      </c>
      <c r="F422" s="26">
        <v>4.3E-3</v>
      </c>
      <c r="G422" s="26">
        <v>6.6000000000000003E-2</v>
      </c>
      <c r="H422" s="14">
        <v>14</v>
      </c>
      <c r="I422" s="24" t="s">
        <v>556</v>
      </c>
      <c r="J422" s="22">
        <f t="shared" si="14"/>
        <v>5.9637959162189593E-5</v>
      </c>
      <c r="K422" s="22"/>
    </row>
    <row r="423" spans="1:11" x14ac:dyDescent="0.15">
      <c r="A423" s="24" t="s">
        <v>555</v>
      </c>
      <c r="B423" s="24" t="s">
        <v>925</v>
      </c>
      <c r="C423" s="24">
        <v>3.97</v>
      </c>
      <c r="D423" s="24" t="s">
        <v>436</v>
      </c>
      <c r="E423" s="24" t="s">
        <v>742</v>
      </c>
      <c r="F423" s="26">
        <v>2.3999999999999998E-3</v>
      </c>
      <c r="G423" s="26">
        <v>2.1000000000000001E-2</v>
      </c>
      <c r="H423" s="14">
        <v>23</v>
      </c>
      <c r="I423" s="24" t="s">
        <v>556</v>
      </c>
      <c r="J423" s="22">
        <f t="shared" si="14"/>
        <v>9.9245806302149901E-5</v>
      </c>
      <c r="K423" s="22"/>
    </row>
    <row r="424" spans="1:11" x14ac:dyDescent="0.15">
      <c r="A424" s="24" t="s">
        <v>555</v>
      </c>
      <c r="B424" s="24" t="s">
        <v>925</v>
      </c>
      <c r="C424" s="24">
        <v>3.97</v>
      </c>
      <c r="D424" s="24" t="s">
        <v>566</v>
      </c>
      <c r="E424" s="24" t="s">
        <v>742</v>
      </c>
      <c r="F424" s="26">
        <v>3.5999999999999999E-3</v>
      </c>
      <c r="G424" s="26">
        <v>0.03</v>
      </c>
      <c r="H424" s="14">
        <v>22</v>
      </c>
      <c r="I424" s="24" t="s">
        <v>556</v>
      </c>
      <c r="J424" s="22">
        <f t="shared" si="14"/>
        <v>1.0496420995095707E-4</v>
      </c>
      <c r="K424" s="22"/>
    </row>
    <row r="425" spans="1:11" x14ac:dyDescent="0.15">
      <c r="A425" s="24" t="s">
        <v>555</v>
      </c>
      <c r="B425" s="24" t="s">
        <v>925</v>
      </c>
      <c r="C425" s="24">
        <v>3.97</v>
      </c>
      <c r="D425" s="24" t="s">
        <v>567</v>
      </c>
      <c r="E425" s="24" t="s">
        <v>742</v>
      </c>
      <c r="F425" s="26">
        <v>8.0000000000000004E-4</v>
      </c>
      <c r="G425" s="26">
        <v>2.4E-2</v>
      </c>
      <c r="H425" s="14">
        <v>14</v>
      </c>
      <c r="I425" s="24" t="s">
        <v>556</v>
      </c>
      <c r="J425" s="22">
        <f t="shared" si="14"/>
        <v>3.0512444222515613E-5</v>
      </c>
      <c r="K425" s="22"/>
    </row>
    <row r="426" spans="1:11" x14ac:dyDescent="0.15">
      <c r="A426" s="24" t="s">
        <v>555</v>
      </c>
      <c r="B426" s="24" t="s">
        <v>925</v>
      </c>
      <c r="C426" s="24">
        <v>3.97</v>
      </c>
      <c r="D426" s="24" t="s">
        <v>546</v>
      </c>
      <c r="E426" s="24" t="s">
        <v>743</v>
      </c>
      <c r="F426" s="26">
        <v>4.0000000000000002E-4</v>
      </c>
      <c r="G426" s="26">
        <v>2.1999999999999999E-2</v>
      </c>
      <c r="H426" s="14">
        <v>0</v>
      </c>
      <c r="I426" s="24" t="s">
        <v>556</v>
      </c>
      <c r="J426" s="22">
        <f>F426*COS(RADIANS(H426))/(1060*G426)</f>
        <v>1.7152658662092625E-5</v>
      </c>
      <c r="K426" s="22"/>
    </row>
    <row r="427" spans="1:11" x14ac:dyDescent="0.15">
      <c r="A427" s="24" t="s">
        <v>555</v>
      </c>
      <c r="B427" s="24" t="s">
        <v>925</v>
      </c>
      <c r="C427" s="24">
        <v>3.97</v>
      </c>
      <c r="D427" s="24" t="s">
        <v>551</v>
      </c>
      <c r="E427" s="24" t="s">
        <v>743</v>
      </c>
      <c r="F427" s="26">
        <v>1.26E-2</v>
      </c>
      <c r="G427" s="26">
        <v>0.1</v>
      </c>
      <c r="H427" s="14">
        <v>11</v>
      </c>
      <c r="I427" s="24" t="s">
        <v>556</v>
      </c>
      <c r="J427" s="22">
        <f t="shared" si="14"/>
        <v>1.1668398595698649E-4</v>
      </c>
      <c r="K427" s="22"/>
    </row>
    <row r="428" spans="1:11" x14ac:dyDescent="0.15">
      <c r="A428" s="24" t="s">
        <v>555</v>
      </c>
      <c r="B428" s="24" t="s">
        <v>925</v>
      </c>
      <c r="C428" s="24">
        <v>3.97</v>
      </c>
      <c r="D428" s="24" t="s">
        <v>388</v>
      </c>
      <c r="E428" s="24" t="s">
        <v>743</v>
      </c>
      <c r="F428" s="26">
        <v>3.0999999999999999E-3</v>
      </c>
      <c r="G428" s="26">
        <v>5.8999999999999997E-2</v>
      </c>
      <c r="H428" s="14">
        <v>0</v>
      </c>
      <c r="I428" s="24" t="s">
        <v>556</v>
      </c>
      <c r="J428" s="22">
        <f t="shared" si="14"/>
        <v>4.9568276303165972E-5</v>
      </c>
      <c r="K428" s="22"/>
    </row>
    <row r="429" spans="1:11" x14ac:dyDescent="0.15">
      <c r="A429" s="24" t="s">
        <v>555</v>
      </c>
      <c r="B429" s="24" t="s">
        <v>925</v>
      </c>
      <c r="C429" s="24">
        <v>3.97</v>
      </c>
      <c r="D429" s="24" t="s">
        <v>568</v>
      </c>
      <c r="E429" s="24" t="s">
        <v>743</v>
      </c>
      <c r="F429" s="26">
        <v>2E-3</v>
      </c>
      <c r="G429" s="26">
        <v>3.4000000000000002E-2</v>
      </c>
      <c r="H429" s="14">
        <v>17</v>
      </c>
      <c r="I429" s="24" t="s">
        <v>556</v>
      </c>
      <c r="J429" s="22">
        <f t="shared" si="14"/>
        <v>5.3069076357549139E-5</v>
      </c>
      <c r="K429" s="22"/>
    </row>
    <row r="430" spans="1:11" x14ac:dyDescent="0.15">
      <c r="A430" s="24" t="s">
        <v>555</v>
      </c>
      <c r="B430" s="24" t="s">
        <v>925</v>
      </c>
      <c r="C430" s="24">
        <v>3.97</v>
      </c>
      <c r="D430" s="24" t="s">
        <v>446</v>
      </c>
      <c r="E430" s="24" t="s">
        <v>743</v>
      </c>
      <c r="F430" s="26">
        <v>8.0000000000000004E-4</v>
      </c>
      <c r="G430" s="26">
        <v>1.4999999999999999E-2</v>
      </c>
      <c r="H430" s="14">
        <v>16</v>
      </c>
      <c r="I430" s="24" t="s">
        <v>556</v>
      </c>
      <c r="J430" s="22">
        <f t="shared" si="14"/>
        <v>4.8365368349097814E-5</v>
      </c>
      <c r="K430" s="22"/>
    </row>
    <row r="431" spans="1:11" x14ac:dyDescent="0.15">
      <c r="A431" s="24" t="s">
        <v>555</v>
      </c>
      <c r="B431" s="24" t="s">
        <v>925</v>
      </c>
      <c r="C431" s="24">
        <v>3.97</v>
      </c>
      <c r="D431" s="24" t="s">
        <v>380</v>
      </c>
      <c r="E431" s="24" t="s">
        <v>743</v>
      </c>
      <c r="F431" s="26">
        <v>4.1999999999999997E-3</v>
      </c>
      <c r="G431" s="26">
        <v>2.8000000000000001E-2</v>
      </c>
      <c r="H431" s="14">
        <v>19</v>
      </c>
      <c r="I431" s="24" t="s">
        <v>556</v>
      </c>
      <c r="J431" s="22">
        <f t="shared" si="14"/>
        <v>1.3379979843386558E-4</v>
      </c>
      <c r="K431" s="22"/>
    </row>
    <row r="432" spans="1:11" x14ac:dyDescent="0.15">
      <c r="A432" s="24" t="s">
        <v>555</v>
      </c>
      <c r="B432" s="24" t="s">
        <v>925</v>
      </c>
      <c r="C432" s="24">
        <v>3.97</v>
      </c>
      <c r="D432" s="24" t="s">
        <v>369</v>
      </c>
      <c r="E432" s="24" t="s">
        <v>743</v>
      </c>
      <c r="F432" s="26">
        <v>1.6999999999999999E-3</v>
      </c>
      <c r="G432" s="26">
        <v>2.7E-2</v>
      </c>
      <c r="H432" s="14">
        <v>13</v>
      </c>
      <c r="I432" s="24" t="s">
        <v>556</v>
      </c>
      <c r="J432" s="22">
        <f t="shared" si="14"/>
        <v>5.7876628586125079E-5</v>
      </c>
      <c r="K432" s="22"/>
    </row>
    <row r="433" spans="1:11" x14ac:dyDescent="0.15">
      <c r="A433" s="24" t="s">
        <v>555</v>
      </c>
      <c r="B433" s="24" t="s">
        <v>925</v>
      </c>
      <c r="C433" s="24">
        <v>3.97</v>
      </c>
      <c r="D433" s="24" t="s">
        <v>448</v>
      </c>
      <c r="E433" s="24" t="s">
        <v>743</v>
      </c>
      <c r="F433" s="26">
        <v>8.0000000000000004E-4</v>
      </c>
      <c r="G433" s="26">
        <v>2.3E-2</v>
      </c>
      <c r="H433" s="14">
        <v>24</v>
      </c>
      <c r="I433" s="24" t="s">
        <v>556</v>
      </c>
      <c r="J433" s="22">
        <f t="shared" si="14"/>
        <v>2.9976881300823655E-5</v>
      </c>
      <c r="K433" s="22"/>
    </row>
    <row r="434" spans="1:11" x14ac:dyDescent="0.15">
      <c r="A434" s="24" t="s">
        <v>555</v>
      </c>
      <c r="B434" s="24" t="s">
        <v>925</v>
      </c>
      <c r="C434" s="24">
        <v>3.97</v>
      </c>
      <c r="D434" s="24" t="s">
        <v>569</v>
      </c>
      <c r="E434" s="24" t="s">
        <v>743</v>
      </c>
      <c r="F434" s="26">
        <v>1.3100000000000001E-2</v>
      </c>
      <c r="G434" s="26">
        <v>4.2999999999999997E-2</v>
      </c>
      <c r="H434" s="14">
        <v>15</v>
      </c>
      <c r="I434" s="24" t="s">
        <v>556</v>
      </c>
      <c r="J434" s="22">
        <f t="shared" si="14"/>
        <v>2.7761360957408502E-4</v>
      </c>
      <c r="K434" s="22"/>
    </row>
    <row r="435" spans="1:11" x14ac:dyDescent="0.15">
      <c r="A435" s="24" t="s">
        <v>555</v>
      </c>
      <c r="B435" s="24" t="s">
        <v>925</v>
      </c>
      <c r="C435" s="24">
        <v>3.97</v>
      </c>
      <c r="D435" s="24" t="s">
        <v>570</v>
      </c>
      <c r="E435" s="24" t="s">
        <v>743</v>
      </c>
      <c r="F435" s="26">
        <v>2.5000000000000001E-3</v>
      </c>
      <c r="G435" s="26">
        <v>2.8000000000000001E-2</v>
      </c>
      <c r="H435" s="14">
        <v>17</v>
      </c>
      <c r="I435" s="24" t="s">
        <v>556</v>
      </c>
      <c r="J435" s="22">
        <f t="shared" si="14"/>
        <v>8.0551276614137081E-5</v>
      </c>
      <c r="K435" s="22"/>
    </row>
    <row r="436" spans="1:11" x14ac:dyDescent="0.15">
      <c r="A436" s="24" t="s">
        <v>555</v>
      </c>
      <c r="B436" s="24" t="s">
        <v>925</v>
      </c>
      <c r="C436" s="24">
        <v>3.97</v>
      </c>
      <c r="D436" s="24" t="s">
        <v>571</v>
      </c>
      <c r="E436" s="24" t="s">
        <v>743</v>
      </c>
      <c r="F436" s="26">
        <v>9.2999999999999992E-3</v>
      </c>
      <c r="G436" s="26">
        <v>3.3000000000000002E-2</v>
      </c>
      <c r="H436" s="14">
        <v>0</v>
      </c>
      <c r="I436" s="24" t="s">
        <v>556</v>
      </c>
      <c r="J436" s="22">
        <f t="shared" si="14"/>
        <v>2.6586620926243563E-4</v>
      </c>
      <c r="K436" s="22"/>
    </row>
    <row r="437" spans="1:11" x14ac:dyDescent="0.15">
      <c r="A437" s="24" t="s">
        <v>555</v>
      </c>
      <c r="B437" s="24" t="s">
        <v>925</v>
      </c>
      <c r="C437" s="24">
        <v>3.97</v>
      </c>
      <c r="D437" s="24" t="s">
        <v>572</v>
      </c>
      <c r="E437" s="24" t="s">
        <v>743</v>
      </c>
      <c r="F437" s="26">
        <v>8.6E-3</v>
      </c>
      <c r="G437" s="26">
        <v>3.4000000000000002E-2</v>
      </c>
      <c r="H437" s="14">
        <v>29</v>
      </c>
      <c r="I437" s="24" t="s">
        <v>556</v>
      </c>
      <c r="J437" s="22">
        <f t="shared" si="14"/>
        <v>2.0870503555490576E-4</v>
      </c>
      <c r="K437" s="22"/>
    </row>
    <row r="438" spans="1:11" x14ac:dyDescent="0.15">
      <c r="A438" s="24" t="s">
        <v>555</v>
      </c>
      <c r="B438" s="24" t="s">
        <v>925</v>
      </c>
      <c r="C438" s="24">
        <v>3.97</v>
      </c>
      <c r="D438" s="24" t="s">
        <v>441</v>
      </c>
      <c r="E438" s="24" t="s">
        <v>743</v>
      </c>
      <c r="F438" s="26">
        <v>4.4000000000000003E-3</v>
      </c>
      <c r="G438" s="26">
        <v>3.5999999999999997E-2</v>
      </c>
      <c r="H438" s="14">
        <v>14</v>
      </c>
      <c r="I438" s="24" t="s">
        <v>556</v>
      </c>
      <c r="J438" s="22">
        <f t="shared" si="14"/>
        <v>1.1187896214922393E-4</v>
      </c>
      <c r="K438" s="22"/>
    </row>
    <row r="439" spans="1:11" x14ac:dyDescent="0.15">
      <c r="A439" s="24" t="s">
        <v>555</v>
      </c>
      <c r="B439" s="24" t="s">
        <v>925</v>
      </c>
      <c r="C439" s="24">
        <v>3.97</v>
      </c>
      <c r="D439" s="24" t="s">
        <v>442</v>
      </c>
      <c r="E439" s="24" t="s">
        <v>743</v>
      </c>
      <c r="F439" s="26">
        <v>1.1999999999999999E-3</v>
      </c>
      <c r="G439" s="26">
        <v>2.9000000000000001E-2</v>
      </c>
      <c r="H439" s="14">
        <v>15</v>
      </c>
      <c r="I439" s="24" t="s">
        <v>556</v>
      </c>
      <c r="J439" s="22">
        <f t="shared" si="14"/>
        <v>3.7706928807640914E-5</v>
      </c>
      <c r="K439" s="22"/>
    </row>
    <row r="440" spans="1:11" x14ac:dyDescent="0.15">
      <c r="A440" s="24" t="s">
        <v>555</v>
      </c>
      <c r="B440" s="24" t="s">
        <v>925</v>
      </c>
      <c r="C440" s="24">
        <v>3.97</v>
      </c>
      <c r="D440" s="24" t="s">
        <v>443</v>
      </c>
      <c r="E440" s="24" t="s">
        <v>743</v>
      </c>
      <c r="F440" s="26">
        <v>1.5E-3</v>
      </c>
      <c r="G440" s="26">
        <v>3.6999999999999998E-2</v>
      </c>
      <c r="H440" s="14">
        <v>18</v>
      </c>
      <c r="I440" s="24" t="s">
        <v>556</v>
      </c>
      <c r="J440" s="22">
        <f t="shared" si="14"/>
        <v>3.6373910618121631E-5</v>
      </c>
      <c r="K440" s="22"/>
    </row>
    <row r="441" spans="1:11" x14ac:dyDescent="0.15">
      <c r="A441" s="24" t="s">
        <v>555</v>
      </c>
      <c r="B441" s="24" t="s">
        <v>925</v>
      </c>
      <c r="C441" s="24">
        <v>3.97</v>
      </c>
      <c r="D441" s="24" t="s">
        <v>8</v>
      </c>
      <c r="E441" s="24" t="s">
        <v>743</v>
      </c>
      <c r="F441" s="26">
        <v>1.8E-3</v>
      </c>
      <c r="G441" s="26">
        <v>3.3000000000000002E-2</v>
      </c>
      <c r="H441" s="14">
        <v>19</v>
      </c>
      <c r="I441" s="24" t="s">
        <v>556</v>
      </c>
      <c r="J441" s="22">
        <f t="shared" si="14"/>
        <v>4.8654472157769295E-5</v>
      </c>
      <c r="K441" s="22"/>
    </row>
    <row r="442" spans="1:11" x14ac:dyDescent="0.15">
      <c r="A442" s="24" t="s">
        <v>555</v>
      </c>
      <c r="B442" s="24" t="s">
        <v>925</v>
      </c>
      <c r="C442" s="24">
        <v>3.97</v>
      </c>
      <c r="D442" s="24" t="s">
        <v>573</v>
      </c>
      <c r="E442" s="24" t="s">
        <v>743</v>
      </c>
      <c r="F442" s="26">
        <v>2.3999999999999998E-3</v>
      </c>
      <c r="G442" s="26">
        <v>2.3E-2</v>
      </c>
      <c r="H442" s="14">
        <v>22</v>
      </c>
      <c r="I442" s="24" t="s">
        <v>556</v>
      </c>
      <c r="J442" s="22">
        <f t="shared" si="14"/>
        <v>9.1273226044310486E-5</v>
      </c>
      <c r="K442" s="22"/>
    </row>
    <row r="443" spans="1:11" x14ac:dyDescent="0.15">
      <c r="A443" s="24" t="s">
        <v>555</v>
      </c>
      <c r="B443" s="24" t="s">
        <v>925</v>
      </c>
      <c r="C443" s="24">
        <v>3.97</v>
      </c>
      <c r="D443" s="24" t="s">
        <v>574</v>
      </c>
      <c r="E443" s="24" t="s">
        <v>743</v>
      </c>
      <c r="F443" s="26">
        <v>1.6999999999999999E-3</v>
      </c>
      <c r="G443" s="26">
        <v>2.7E-2</v>
      </c>
      <c r="H443" s="14">
        <v>20</v>
      </c>
      <c r="I443" s="24" t="s">
        <v>556</v>
      </c>
      <c r="J443" s="22">
        <f t="shared" si="14"/>
        <v>5.5816822338785611E-5</v>
      </c>
      <c r="K443" s="22"/>
    </row>
    <row r="444" spans="1:11" x14ac:dyDescent="0.15">
      <c r="A444" s="24" t="s">
        <v>555</v>
      </c>
      <c r="B444" s="24" t="s">
        <v>925</v>
      </c>
      <c r="C444" s="24">
        <v>3.97</v>
      </c>
      <c r="D444" s="24" t="s">
        <v>387</v>
      </c>
      <c r="E444" s="24" t="s">
        <v>743</v>
      </c>
      <c r="F444" s="26">
        <v>5.0000000000000001E-4</v>
      </c>
      <c r="G444" s="26">
        <v>1.4E-2</v>
      </c>
      <c r="H444" s="14">
        <v>0</v>
      </c>
      <c r="I444" s="24" t="s">
        <v>556</v>
      </c>
      <c r="J444" s="22">
        <f t="shared" si="14"/>
        <v>3.3692722371967658E-5</v>
      </c>
      <c r="K444" s="22"/>
    </row>
    <row r="445" spans="1:11" x14ac:dyDescent="0.15">
      <c r="A445" s="24" t="s">
        <v>555</v>
      </c>
      <c r="B445" s="24" t="s">
        <v>925</v>
      </c>
      <c r="C445" s="24">
        <v>3.97</v>
      </c>
      <c r="D445" s="24" t="s">
        <v>392</v>
      </c>
      <c r="E445" s="24" t="s">
        <v>743</v>
      </c>
      <c r="F445" s="26">
        <v>1.5E-3</v>
      </c>
      <c r="G445" s="26">
        <v>2.1999999999999999E-2</v>
      </c>
      <c r="H445" s="14">
        <v>0</v>
      </c>
      <c r="I445" s="24" t="s">
        <v>556</v>
      </c>
      <c r="J445" s="22">
        <f t="shared" si="14"/>
        <v>6.4322469982847343E-5</v>
      </c>
      <c r="K445" s="22"/>
    </row>
    <row r="446" spans="1:11" x14ac:dyDescent="0.15">
      <c r="A446" s="33" t="s">
        <v>906</v>
      </c>
      <c r="B446" s="33" t="s">
        <v>925</v>
      </c>
      <c r="C446" s="33">
        <v>1.1000000000000001</v>
      </c>
      <c r="D446" s="33" t="s">
        <v>480</v>
      </c>
      <c r="E446" s="33" t="s">
        <v>742</v>
      </c>
      <c r="F446" s="8">
        <v>6.8259999999999996E-3</v>
      </c>
      <c r="G446" s="8">
        <v>0.14333333000000001</v>
      </c>
      <c r="H446" s="33"/>
      <c r="I446" s="33" t="s">
        <v>164</v>
      </c>
      <c r="J446" s="42">
        <v>4.49E-5</v>
      </c>
      <c r="K446" s="22" t="s">
        <v>366</v>
      </c>
    </row>
    <row r="447" spans="1:11" x14ac:dyDescent="0.15">
      <c r="A447" s="33" t="s">
        <v>906</v>
      </c>
      <c r="B447" s="33" t="s">
        <v>925</v>
      </c>
      <c r="C447" s="33">
        <v>1.1000000000000001</v>
      </c>
      <c r="D447" s="33" t="s">
        <v>575</v>
      </c>
      <c r="E447" s="33" t="s">
        <v>742</v>
      </c>
      <c r="F447" s="8">
        <v>2.3210000000000001E-3</v>
      </c>
      <c r="G447" s="8">
        <v>7.7666669999999993E-2</v>
      </c>
      <c r="H447" s="33"/>
      <c r="I447" s="33" t="s">
        <v>164</v>
      </c>
      <c r="J447" s="42">
        <v>2.8200000000000001E-5</v>
      </c>
      <c r="K447" s="22"/>
    </row>
    <row r="448" spans="1:11" x14ac:dyDescent="0.15">
      <c r="A448" s="33" t="s">
        <v>906</v>
      </c>
      <c r="B448" s="33" t="s">
        <v>925</v>
      </c>
      <c r="C448" s="33">
        <v>1.1000000000000001</v>
      </c>
      <c r="D448" s="33" t="s">
        <v>576</v>
      </c>
      <c r="E448" s="33" t="s">
        <v>742</v>
      </c>
      <c r="F448" s="8">
        <v>1.085E-3</v>
      </c>
      <c r="G448" s="8">
        <v>8.2666669999999998E-2</v>
      </c>
      <c r="H448" s="33"/>
      <c r="I448" s="33" t="s">
        <v>164</v>
      </c>
      <c r="J448" s="42">
        <v>1.24E-5</v>
      </c>
      <c r="K448" s="22"/>
    </row>
    <row r="449" spans="1:11" x14ac:dyDescent="0.15">
      <c r="A449" s="33" t="s">
        <v>906</v>
      </c>
      <c r="B449" s="33" t="s">
        <v>925</v>
      </c>
      <c r="C449" s="33">
        <v>1.1000000000000001</v>
      </c>
      <c r="D449" s="33" t="s">
        <v>577</v>
      </c>
      <c r="E449" s="33" t="s">
        <v>742</v>
      </c>
      <c r="F449" s="8">
        <v>1.0423E-2</v>
      </c>
      <c r="G449" s="8">
        <v>0.13600000000000001</v>
      </c>
      <c r="H449" s="33"/>
      <c r="I449" s="33" t="s">
        <v>164</v>
      </c>
      <c r="J449" s="42">
        <v>7.2299999999999996E-5</v>
      </c>
      <c r="K449" s="22"/>
    </row>
    <row r="450" spans="1:11" x14ac:dyDescent="0.15">
      <c r="A450" s="33" t="s">
        <v>906</v>
      </c>
      <c r="B450" s="33" t="s">
        <v>925</v>
      </c>
      <c r="C450" s="33">
        <v>1.1000000000000001</v>
      </c>
      <c r="D450" s="33" t="s">
        <v>578</v>
      </c>
      <c r="E450" s="33" t="s">
        <v>742</v>
      </c>
      <c r="F450" s="8">
        <v>8.0739999999999996E-3</v>
      </c>
      <c r="G450" s="8">
        <v>0.03</v>
      </c>
      <c r="H450" s="33"/>
      <c r="I450" s="33" t="s">
        <v>164</v>
      </c>
      <c r="J450" s="42">
        <v>2.2278E-4</v>
      </c>
      <c r="K450" s="22"/>
    </row>
    <row r="451" spans="1:11" x14ac:dyDescent="0.15">
      <c r="A451" s="33" t="s">
        <v>906</v>
      </c>
      <c r="B451" s="33" t="s">
        <v>925</v>
      </c>
      <c r="C451" s="33">
        <v>1.1000000000000001</v>
      </c>
      <c r="D451" s="33" t="s">
        <v>579</v>
      </c>
      <c r="E451" s="33" t="s">
        <v>742</v>
      </c>
      <c r="F451" s="8">
        <v>7.7000000000000002E-3</v>
      </c>
      <c r="G451" s="8">
        <v>2.8000000000000001E-2</v>
      </c>
      <c r="H451" s="33"/>
      <c r="I451" s="33" t="s">
        <v>164</v>
      </c>
      <c r="J451" s="42">
        <v>2.4274E-4</v>
      </c>
      <c r="K451" s="22"/>
    </row>
    <row r="452" spans="1:11" x14ac:dyDescent="0.15">
      <c r="A452" s="33" t="s">
        <v>906</v>
      </c>
      <c r="B452" s="33" t="s">
        <v>925</v>
      </c>
      <c r="C452" s="33">
        <v>1.1000000000000001</v>
      </c>
      <c r="D452" s="33" t="s">
        <v>580</v>
      </c>
      <c r="E452" s="33" t="s">
        <v>742</v>
      </c>
      <c r="F452" s="8">
        <v>1.178E-3</v>
      </c>
      <c r="G452" s="8">
        <v>1.458333E-2</v>
      </c>
      <c r="H452" s="33"/>
      <c r="I452" s="33" t="s">
        <v>164</v>
      </c>
      <c r="J452" s="42">
        <v>6.8700000000000003E-5</v>
      </c>
      <c r="K452" s="22"/>
    </row>
    <row r="453" spans="1:11" x14ac:dyDescent="0.15">
      <c r="A453" s="33" t="s">
        <v>906</v>
      </c>
      <c r="B453" s="33" t="s">
        <v>925</v>
      </c>
      <c r="C453" s="33">
        <v>1.1000000000000001</v>
      </c>
      <c r="D453" s="33" t="s">
        <v>581</v>
      </c>
      <c r="E453" s="33" t="s">
        <v>742</v>
      </c>
      <c r="F453" s="8">
        <v>1.3699999999999999E-3</v>
      </c>
      <c r="G453" s="8">
        <v>3.875E-2</v>
      </c>
      <c r="H453" s="33"/>
      <c r="I453" s="33" t="s">
        <v>164</v>
      </c>
      <c r="J453" s="42">
        <v>3.3399999999999999E-5</v>
      </c>
      <c r="K453" s="22"/>
    </row>
    <row r="454" spans="1:11" x14ac:dyDescent="0.15">
      <c r="A454" s="33" t="s">
        <v>906</v>
      </c>
      <c r="B454" s="33" t="s">
        <v>925</v>
      </c>
      <c r="C454" s="33">
        <v>1.1000000000000001</v>
      </c>
      <c r="D454" s="33" t="s">
        <v>482</v>
      </c>
      <c r="E454" s="33" t="s">
        <v>742</v>
      </c>
      <c r="F454" s="8">
        <v>3.2179999999999999E-3</v>
      </c>
      <c r="G454" s="8">
        <v>3.5000000000000003E-2</v>
      </c>
      <c r="H454" s="33"/>
      <c r="I454" s="33" t="s">
        <v>164</v>
      </c>
      <c r="J454" s="42">
        <v>7.3800000000000005E-5</v>
      </c>
      <c r="K454" s="22"/>
    </row>
    <row r="455" spans="1:11" x14ac:dyDescent="0.15">
      <c r="A455" s="33" t="s">
        <v>906</v>
      </c>
      <c r="B455" s="33" t="s">
        <v>925</v>
      </c>
      <c r="C455" s="33">
        <v>1.1000000000000001</v>
      </c>
      <c r="D455" s="33" t="s">
        <v>484</v>
      </c>
      <c r="E455" s="33" t="s">
        <v>742</v>
      </c>
      <c r="F455" s="8">
        <v>7.711E-3</v>
      </c>
      <c r="G455" s="8">
        <v>1.35E-2</v>
      </c>
      <c r="H455" s="33"/>
      <c r="I455" s="33" t="s">
        <v>164</v>
      </c>
      <c r="J455" s="42">
        <v>4.9322000000000005E-4</v>
      </c>
      <c r="K455" s="22"/>
    </row>
    <row r="456" spans="1:11" x14ac:dyDescent="0.15">
      <c r="A456" s="33" t="s">
        <v>906</v>
      </c>
      <c r="B456" s="33" t="s">
        <v>925</v>
      </c>
      <c r="C456" s="33">
        <v>1.1000000000000001</v>
      </c>
      <c r="D456" s="33" t="s">
        <v>582</v>
      </c>
      <c r="E456" s="33" t="s">
        <v>742</v>
      </c>
      <c r="F456" s="8">
        <v>3.6699999999999998E-4</v>
      </c>
      <c r="G456" s="8">
        <v>7.9626699999999998E-3</v>
      </c>
      <c r="H456" s="33"/>
      <c r="I456" s="33" t="s">
        <v>164</v>
      </c>
      <c r="J456" s="42">
        <v>3.5500000000000002E-5</v>
      </c>
      <c r="K456" s="22"/>
    </row>
    <row r="457" spans="1:11" x14ac:dyDescent="0.15">
      <c r="A457" s="33" t="s">
        <v>906</v>
      </c>
      <c r="B457" s="33" t="s">
        <v>925</v>
      </c>
      <c r="C457" s="33">
        <v>1.1000000000000001</v>
      </c>
      <c r="D457" s="33" t="s">
        <v>583</v>
      </c>
      <c r="E457" s="33" t="s">
        <v>742</v>
      </c>
      <c r="F457" s="8">
        <v>3.0200000000000002E-4</v>
      </c>
      <c r="G457" s="8">
        <v>9.6666700000000005E-3</v>
      </c>
      <c r="H457" s="33"/>
      <c r="I457" s="33" t="s">
        <v>164</v>
      </c>
      <c r="J457" s="42">
        <v>2.5299999999999998E-5</v>
      </c>
      <c r="K457" s="22"/>
    </row>
    <row r="458" spans="1:11" x14ac:dyDescent="0.15">
      <c r="A458" s="33" t="s">
        <v>906</v>
      </c>
      <c r="B458" s="33" t="s">
        <v>925</v>
      </c>
      <c r="C458" s="33">
        <v>1.1000000000000001</v>
      </c>
      <c r="D458" s="33" t="s">
        <v>584</v>
      </c>
      <c r="E458" s="33" t="s">
        <v>742</v>
      </c>
      <c r="F458" s="8">
        <v>9.3270000000000002E-3</v>
      </c>
      <c r="G458" s="8">
        <v>2.2333329999999998E-2</v>
      </c>
      <c r="H458" s="33"/>
      <c r="I458" s="33" t="s">
        <v>164</v>
      </c>
      <c r="J458" s="42">
        <v>3.6085000000000002E-4</v>
      </c>
      <c r="K458" s="22"/>
    </row>
    <row r="459" spans="1:11" x14ac:dyDescent="0.15">
      <c r="A459" s="33" t="s">
        <v>906</v>
      </c>
      <c r="B459" s="33" t="s">
        <v>925</v>
      </c>
      <c r="C459" s="33">
        <v>1.1000000000000001</v>
      </c>
      <c r="D459" s="33" t="s">
        <v>585</v>
      </c>
      <c r="E459" s="33" t="s">
        <v>742</v>
      </c>
      <c r="F459" s="8">
        <v>3.6510000000000002E-3</v>
      </c>
      <c r="G459" s="8">
        <v>3.8333329999999999E-2</v>
      </c>
      <c r="H459" s="33"/>
      <c r="I459" s="33" t="s">
        <v>164</v>
      </c>
      <c r="J459" s="42">
        <v>8.5900000000000001E-5</v>
      </c>
      <c r="K459" s="22"/>
    </row>
    <row r="460" spans="1:11" x14ac:dyDescent="0.15">
      <c r="A460" s="33" t="s">
        <v>906</v>
      </c>
      <c r="B460" s="33" t="s">
        <v>925</v>
      </c>
      <c r="C460" s="33">
        <v>1.1000000000000001</v>
      </c>
      <c r="D460" s="33" t="s">
        <v>586</v>
      </c>
      <c r="E460" s="33" t="s">
        <v>742</v>
      </c>
      <c r="F460" s="8">
        <v>1.225E-3</v>
      </c>
      <c r="G460" s="8">
        <v>5.0333330000000003E-2</v>
      </c>
      <c r="H460" s="33"/>
      <c r="I460" s="33" t="s">
        <v>164</v>
      </c>
      <c r="J460" s="42">
        <v>2.19E-5</v>
      </c>
      <c r="K460" s="22"/>
    </row>
    <row r="461" spans="1:11" x14ac:dyDescent="0.15">
      <c r="A461" s="33" t="s">
        <v>906</v>
      </c>
      <c r="B461" s="33" t="s">
        <v>925</v>
      </c>
      <c r="C461" s="33">
        <v>1.1000000000000001</v>
      </c>
      <c r="D461" s="33" t="s">
        <v>587</v>
      </c>
      <c r="E461" s="33" t="s">
        <v>742</v>
      </c>
      <c r="F461" s="8">
        <v>1.384E-3</v>
      </c>
      <c r="G461" s="8">
        <v>5.9499999999999997E-2</v>
      </c>
      <c r="H461" s="33"/>
      <c r="I461" s="33" t="s">
        <v>164</v>
      </c>
      <c r="J461" s="42">
        <v>2.19E-5</v>
      </c>
      <c r="K461" s="22"/>
    </row>
    <row r="462" spans="1:11" x14ac:dyDescent="0.15">
      <c r="A462" s="33" t="s">
        <v>906</v>
      </c>
      <c r="B462" s="33" t="s">
        <v>925</v>
      </c>
      <c r="C462" s="33">
        <v>1.1000000000000001</v>
      </c>
      <c r="D462" s="33" t="s">
        <v>491</v>
      </c>
      <c r="E462" s="33" t="s">
        <v>742</v>
      </c>
      <c r="F462" s="33">
        <v>3.4919999999999999E-3</v>
      </c>
      <c r="G462" s="33">
        <v>1.7999999999999999E-2</v>
      </c>
      <c r="H462" s="33"/>
      <c r="I462" s="33" t="s">
        <v>164</v>
      </c>
      <c r="J462" s="22">
        <v>1.5577000000000001E-4</v>
      </c>
      <c r="K462" s="22"/>
    </row>
    <row r="463" spans="1:11" x14ac:dyDescent="0.15">
      <c r="A463" s="33" t="s">
        <v>906</v>
      </c>
      <c r="B463" s="33" t="s">
        <v>925</v>
      </c>
      <c r="C463" s="33">
        <v>1.1000000000000001</v>
      </c>
      <c r="D463" s="33" t="s">
        <v>588</v>
      </c>
      <c r="E463" s="33" t="s">
        <v>742</v>
      </c>
      <c r="F463" s="33">
        <v>1.389E-3</v>
      </c>
      <c r="G463" s="33">
        <v>8.0000000000000002E-3</v>
      </c>
      <c r="H463" s="33"/>
      <c r="I463" s="33" t="s">
        <v>164</v>
      </c>
      <c r="J463" s="22">
        <v>1.638E-4</v>
      </c>
      <c r="K463" s="22"/>
    </row>
    <row r="464" spans="1:11" x14ac:dyDescent="0.15">
      <c r="A464" s="33" t="s">
        <v>906</v>
      </c>
      <c r="B464" s="33" t="s">
        <v>925</v>
      </c>
      <c r="C464" s="33">
        <v>1.1000000000000001</v>
      </c>
      <c r="D464" s="33" t="s">
        <v>589</v>
      </c>
      <c r="E464" s="33" t="s">
        <v>743</v>
      </c>
      <c r="F464" s="33">
        <v>5.1199999999999998E-4</v>
      </c>
      <c r="G464" s="33">
        <v>3.233333E-2</v>
      </c>
      <c r="H464" s="33"/>
      <c r="I464" s="33" t="s">
        <v>164</v>
      </c>
      <c r="J464" s="22">
        <v>1.49E-5</v>
      </c>
      <c r="K464" s="22"/>
    </row>
    <row r="465" spans="1:11" x14ac:dyDescent="0.15">
      <c r="A465" s="33" t="s">
        <v>906</v>
      </c>
      <c r="B465" s="33" t="s">
        <v>925</v>
      </c>
      <c r="C465" s="33">
        <v>1.1000000000000001</v>
      </c>
      <c r="D465" s="33" t="s">
        <v>590</v>
      </c>
      <c r="E465" s="33" t="s">
        <v>743</v>
      </c>
      <c r="F465" s="33">
        <v>1.049E-3</v>
      </c>
      <c r="G465" s="33">
        <v>2.033333E-2</v>
      </c>
      <c r="H465" s="33"/>
      <c r="I465" s="33" t="s">
        <v>164</v>
      </c>
      <c r="J465" s="22">
        <v>4.71E-5</v>
      </c>
      <c r="K465" s="22"/>
    </row>
    <row r="466" spans="1:11" x14ac:dyDescent="0.15">
      <c r="A466" s="33" t="s">
        <v>906</v>
      </c>
      <c r="B466" s="33" t="s">
        <v>925</v>
      </c>
      <c r="C466" s="33">
        <v>1.1000000000000001</v>
      </c>
      <c r="D466" s="33" t="s">
        <v>591</v>
      </c>
      <c r="E466" s="33" t="s">
        <v>743</v>
      </c>
      <c r="F466" s="33">
        <v>8.6499999999999999E-4</v>
      </c>
      <c r="G466" s="33">
        <v>2.6333329999999999E-2</v>
      </c>
      <c r="H466" s="33"/>
      <c r="I466" s="33" t="s">
        <v>164</v>
      </c>
      <c r="J466" s="22">
        <v>2.87E-5</v>
      </c>
      <c r="K466" s="22"/>
    </row>
    <row r="467" spans="1:11" x14ac:dyDescent="0.15">
      <c r="A467" s="33" t="s">
        <v>906</v>
      </c>
      <c r="B467" s="33" t="s">
        <v>925</v>
      </c>
      <c r="C467" s="33">
        <v>1.1000000000000001</v>
      </c>
      <c r="D467" s="33" t="s">
        <v>592</v>
      </c>
      <c r="E467" s="33" t="s">
        <v>743</v>
      </c>
      <c r="F467" s="33">
        <v>6.1600000000000001E-4</v>
      </c>
      <c r="G467" s="33">
        <v>8.9999999999999993E-3</v>
      </c>
      <c r="H467" s="33"/>
      <c r="I467" s="33" t="s">
        <v>164</v>
      </c>
      <c r="J467" s="22">
        <v>4.9499999999999997E-5</v>
      </c>
      <c r="K467" s="22"/>
    </row>
    <row r="468" spans="1:11" x14ac:dyDescent="0.15">
      <c r="A468" s="33" t="s">
        <v>906</v>
      </c>
      <c r="B468" s="33" t="s">
        <v>925</v>
      </c>
      <c r="C468" s="33">
        <v>1.1000000000000001</v>
      </c>
      <c r="D468" s="33" t="s">
        <v>593</v>
      </c>
      <c r="E468" s="33" t="s">
        <v>743</v>
      </c>
      <c r="F468" s="33">
        <v>7.7099999999999998E-4</v>
      </c>
      <c r="G468" s="33">
        <v>1.0619999999999999E-2</v>
      </c>
      <c r="H468" s="33"/>
      <c r="I468" s="33" t="s">
        <v>164</v>
      </c>
      <c r="J468" s="22">
        <v>6.3399999999999996E-5</v>
      </c>
      <c r="K468" s="22"/>
    </row>
    <row r="469" spans="1:11" x14ac:dyDescent="0.15">
      <c r="A469" s="33" t="s">
        <v>906</v>
      </c>
      <c r="B469" s="33" t="s">
        <v>925</v>
      </c>
      <c r="C469" s="33">
        <v>1.1000000000000001</v>
      </c>
      <c r="D469" s="33" t="s">
        <v>594</v>
      </c>
      <c r="E469" s="33" t="s">
        <v>743</v>
      </c>
      <c r="F469" s="33">
        <v>9.5E-4</v>
      </c>
      <c r="G469" s="33">
        <v>6.8446699999999997E-3</v>
      </c>
      <c r="H469" s="33"/>
      <c r="I469" s="33" t="s">
        <v>164</v>
      </c>
      <c r="J469" s="22">
        <v>1.0224E-4</v>
      </c>
      <c r="K469" s="22"/>
    </row>
    <row r="470" spans="1:11" x14ac:dyDescent="0.15">
      <c r="A470" s="33" t="s">
        <v>906</v>
      </c>
      <c r="B470" s="33" t="s">
        <v>925</v>
      </c>
      <c r="C470" s="33">
        <v>1.1000000000000001</v>
      </c>
      <c r="D470" s="33" t="s">
        <v>595</v>
      </c>
      <c r="E470" s="33" t="s">
        <v>743</v>
      </c>
      <c r="F470" s="33">
        <v>4.95E-4</v>
      </c>
      <c r="G470" s="33">
        <v>4.2100000000000002E-3</v>
      </c>
      <c r="H470" s="33"/>
      <c r="I470" s="33" t="s">
        <v>164</v>
      </c>
      <c r="J470" s="22">
        <v>9.9400000000000004E-5</v>
      </c>
      <c r="K470" s="22"/>
    </row>
    <row r="471" spans="1:11" x14ac:dyDescent="0.15">
      <c r="A471" s="33" t="s">
        <v>906</v>
      </c>
      <c r="B471" s="33" t="s">
        <v>925</v>
      </c>
      <c r="C471" s="33">
        <v>1.1000000000000001</v>
      </c>
      <c r="D471" s="33" t="s">
        <v>596</v>
      </c>
      <c r="E471" s="33" t="s">
        <v>743</v>
      </c>
      <c r="F471" s="33">
        <v>1.34E-4</v>
      </c>
      <c r="G471" s="33">
        <v>0.13400000000000001</v>
      </c>
      <c r="H471" s="33"/>
      <c r="I471" s="33" t="s">
        <v>164</v>
      </c>
      <c r="J471" s="22">
        <v>9.4300000000000001E-7</v>
      </c>
      <c r="K471" s="22"/>
    </row>
    <row r="472" spans="1:11" x14ac:dyDescent="0.15">
      <c r="A472" s="33" t="s">
        <v>906</v>
      </c>
      <c r="B472" s="33" t="s">
        <v>925</v>
      </c>
      <c r="C472" s="33">
        <v>1.1000000000000001</v>
      </c>
      <c r="D472" s="33" t="s">
        <v>597</v>
      </c>
      <c r="E472" s="33" t="s">
        <v>743</v>
      </c>
      <c r="F472" s="33">
        <v>4.0099999999999999E-4</v>
      </c>
      <c r="G472" s="33">
        <v>4.4466699999999998E-3</v>
      </c>
      <c r="H472" s="33"/>
      <c r="I472" s="33" t="s">
        <v>164</v>
      </c>
      <c r="J472" s="22">
        <v>6.1199999999999997E-5</v>
      </c>
      <c r="K472" s="22"/>
    </row>
    <row r="473" spans="1:11" x14ac:dyDescent="0.15">
      <c r="A473" s="33" t="s">
        <v>906</v>
      </c>
      <c r="B473" s="33" t="s">
        <v>925</v>
      </c>
      <c r="C473" s="33">
        <v>1.1000000000000001</v>
      </c>
      <c r="D473" s="33" t="s">
        <v>598</v>
      </c>
      <c r="E473" s="33" t="s">
        <v>743</v>
      </c>
      <c r="F473" s="33">
        <v>9.3899999999999995E-4</v>
      </c>
      <c r="G473" s="33">
        <v>6.1933300000000004E-3</v>
      </c>
      <c r="H473" s="33"/>
      <c r="I473" s="33" t="s">
        <v>164</v>
      </c>
      <c r="J473" s="22">
        <v>1.2629000000000001E-4</v>
      </c>
      <c r="K473" s="22"/>
    </row>
    <row r="474" spans="1:11" x14ac:dyDescent="0.15">
      <c r="A474" s="33" t="s">
        <v>906</v>
      </c>
      <c r="B474" s="33" t="s">
        <v>925</v>
      </c>
      <c r="C474" s="33">
        <v>1.1000000000000001</v>
      </c>
      <c r="D474" s="33" t="s">
        <v>599</v>
      </c>
      <c r="E474" s="33" t="s">
        <v>743</v>
      </c>
      <c r="F474" s="33">
        <v>2.3499999999999999E-4</v>
      </c>
      <c r="G474" s="33">
        <v>2.5000000000000001E-3</v>
      </c>
      <c r="H474" s="33"/>
      <c r="I474" s="33" t="s">
        <v>164</v>
      </c>
      <c r="J474" s="22">
        <v>5.66E-5</v>
      </c>
      <c r="K474" s="22"/>
    </row>
    <row r="475" spans="1:11" x14ac:dyDescent="0.15">
      <c r="A475" s="33" t="s">
        <v>906</v>
      </c>
      <c r="B475" s="33" t="s">
        <v>925</v>
      </c>
      <c r="C475" s="33">
        <v>1.1000000000000001</v>
      </c>
      <c r="D475" s="33" t="s">
        <v>600</v>
      </c>
      <c r="E475" s="33" t="s">
        <v>743</v>
      </c>
      <c r="F475" s="33">
        <v>5.8200000000000005E-4</v>
      </c>
      <c r="G475" s="33">
        <v>4.20667E-3</v>
      </c>
      <c r="H475" s="33"/>
      <c r="I475" s="33" t="s">
        <v>164</v>
      </c>
      <c r="J475" s="22">
        <v>1.1341E-4</v>
      </c>
      <c r="K475" s="22"/>
    </row>
    <row r="476" spans="1:11" x14ac:dyDescent="0.15">
      <c r="A476" s="33" t="s">
        <v>906</v>
      </c>
      <c r="B476" s="33" t="s">
        <v>925</v>
      </c>
      <c r="C476" s="33">
        <v>1.1000000000000001</v>
      </c>
      <c r="D476" s="33" t="s">
        <v>601</v>
      </c>
      <c r="E476" s="33" t="s">
        <v>743</v>
      </c>
      <c r="F476" s="33">
        <v>3.6020000000000002E-3</v>
      </c>
      <c r="G476" s="33">
        <v>6.7933300000000002E-3</v>
      </c>
      <c r="H476" s="33"/>
      <c r="I476" s="33" t="s">
        <v>164</v>
      </c>
      <c r="J476" s="22">
        <v>4.4569E-4</v>
      </c>
      <c r="K476" s="22"/>
    </row>
    <row r="477" spans="1:11" x14ac:dyDescent="0.15">
      <c r="A477" s="33" t="s">
        <v>906</v>
      </c>
      <c r="B477" s="33" t="s">
        <v>925</v>
      </c>
      <c r="C477" s="33">
        <v>1.1000000000000001</v>
      </c>
      <c r="D477" s="33" t="s">
        <v>602</v>
      </c>
      <c r="E477" s="33" t="s">
        <v>743</v>
      </c>
      <c r="F477" s="33">
        <v>6.5600000000000001E-4</v>
      </c>
      <c r="G477" s="33">
        <v>1.7666669999999999E-2</v>
      </c>
      <c r="H477" s="33"/>
      <c r="I477" s="33" t="s">
        <v>164</v>
      </c>
      <c r="J477" s="22">
        <v>3.1600000000000002E-5</v>
      </c>
      <c r="K477" s="22"/>
    </row>
    <row r="478" spans="1:11" x14ac:dyDescent="0.15">
      <c r="A478" s="44" t="s">
        <v>202</v>
      </c>
      <c r="B478" s="44" t="s">
        <v>925</v>
      </c>
      <c r="C478" s="44">
        <v>2.66</v>
      </c>
      <c r="D478" s="44" t="s">
        <v>480</v>
      </c>
      <c r="E478" s="44" t="s">
        <v>742</v>
      </c>
      <c r="F478" s="44">
        <v>9.2980000000000007E-3</v>
      </c>
      <c r="G478" s="44">
        <v>0.24199999999999999</v>
      </c>
      <c r="H478" s="44"/>
      <c r="I478" s="44" t="s">
        <v>164</v>
      </c>
      <c r="J478" s="22">
        <v>3.6199999999999999E-5</v>
      </c>
      <c r="K478" s="22" t="s">
        <v>366</v>
      </c>
    </row>
    <row r="479" spans="1:11" x14ac:dyDescent="0.15">
      <c r="A479" s="44" t="s">
        <v>202</v>
      </c>
      <c r="B479" s="44" t="s">
        <v>925</v>
      </c>
      <c r="C479" s="44">
        <v>2.66</v>
      </c>
      <c r="D479" s="44" t="s">
        <v>575</v>
      </c>
      <c r="E479" s="44" t="s">
        <v>742</v>
      </c>
      <c r="F479" s="44">
        <v>2.2880000000000001E-3</v>
      </c>
      <c r="G479" s="44">
        <v>8.8499999999999995E-2</v>
      </c>
      <c r="H479" s="44"/>
      <c r="I479" s="44" t="s">
        <v>164</v>
      </c>
      <c r="J479" s="22">
        <v>2.44E-5</v>
      </c>
      <c r="K479" s="22"/>
    </row>
    <row r="480" spans="1:11" x14ac:dyDescent="0.15">
      <c r="A480" s="44" t="s">
        <v>202</v>
      </c>
      <c r="B480" s="44" t="s">
        <v>925</v>
      </c>
      <c r="C480" s="44">
        <v>2.66</v>
      </c>
      <c r="D480" s="44" t="s">
        <v>576</v>
      </c>
      <c r="E480" s="44" t="s">
        <v>742</v>
      </c>
      <c r="F480" s="44">
        <v>1.3749999999999999E-3</v>
      </c>
      <c r="G480" s="44">
        <v>7.6499999999999999E-2</v>
      </c>
      <c r="H480" s="44"/>
      <c r="I480" s="44" t="s">
        <v>164</v>
      </c>
      <c r="J480" s="22">
        <v>1.7E-5</v>
      </c>
      <c r="K480" s="22"/>
    </row>
    <row r="481" spans="1:11" x14ac:dyDescent="0.15">
      <c r="A481" s="44" t="s">
        <v>202</v>
      </c>
      <c r="B481" s="44" t="s">
        <v>925</v>
      </c>
      <c r="C481" s="44">
        <v>2.66</v>
      </c>
      <c r="D481" s="44" t="s">
        <v>577</v>
      </c>
      <c r="E481" s="44" t="s">
        <v>742</v>
      </c>
      <c r="F481" s="44">
        <v>1.0444999999999999E-2</v>
      </c>
      <c r="G481" s="44">
        <v>9.1999999999999998E-2</v>
      </c>
      <c r="H481" s="44"/>
      <c r="I481" s="44" t="s">
        <v>164</v>
      </c>
      <c r="J481" s="22">
        <v>1.0711E-4</v>
      </c>
      <c r="K481" s="22"/>
    </row>
    <row r="482" spans="1:11" x14ac:dyDescent="0.15">
      <c r="A482" s="44" t="s">
        <v>202</v>
      </c>
      <c r="B482" s="44" t="s">
        <v>925</v>
      </c>
      <c r="C482" s="44">
        <v>2.66</v>
      </c>
      <c r="D482" s="44" t="s">
        <v>578</v>
      </c>
      <c r="E482" s="44" t="s">
        <v>742</v>
      </c>
      <c r="F482" s="44">
        <v>6.123E-3</v>
      </c>
      <c r="G482" s="44">
        <v>2.9666669999999999E-2</v>
      </c>
      <c r="H482" s="44"/>
      <c r="I482" s="44" t="s">
        <v>164</v>
      </c>
      <c r="J482" s="22">
        <v>1.7451000000000001E-4</v>
      </c>
      <c r="K482" s="22"/>
    </row>
    <row r="483" spans="1:11" x14ac:dyDescent="0.15">
      <c r="A483" s="44" t="s">
        <v>202</v>
      </c>
      <c r="B483" s="44" t="s">
        <v>925</v>
      </c>
      <c r="C483" s="44">
        <v>2.66</v>
      </c>
      <c r="D483" s="44" t="s">
        <v>579</v>
      </c>
      <c r="E483" s="44" t="s">
        <v>742</v>
      </c>
      <c r="F483" s="44">
        <v>4.627E-3</v>
      </c>
      <c r="G483" s="44">
        <v>2.1999999999999999E-2</v>
      </c>
      <c r="H483" s="44"/>
      <c r="I483" s="44" t="s">
        <v>164</v>
      </c>
      <c r="J483" s="22">
        <v>1.7124999999999999E-4</v>
      </c>
      <c r="K483" s="22"/>
    </row>
    <row r="484" spans="1:11" x14ac:dyDescent="0.15">
      <c r="A484" s="44" t="s">
        <v>202</v>
      </c>
      <c r="B484" s="44" t="s">
        <v>925</v>
      </c>
      <c r="C484" s="44">
        <v>2.66</v>
      </c>
      <c r="D484" s="44" t="s">
        <v>580</v>
      </c>
      <c r="E484" s="44" t="s">
        <v>742</v>
      </c>
      <c r="F484" s="44">
        <v>8.8900000000000003E-4</v>
      </c>
      <c r="G484" s="44">
        <v>1.0846669999999999E-2</v>
      </c>
      <c r="H484" s="44"/>
      <c r="I484" s="44" t="s">
        <v>164</v>
      </c>
      <c r="J484" s="22">
        <v>7.2999999999999999E-5</v>
      </c>
      <c r="K484" s="22"/>
    </row>
    <row r="485" spans="1:11" x14ac:dyDescent="0.15">
      <c r="A485" s="44" t="s">
        <v>202</v>
      </c>
      <c r="B485" s="44" t="s">
        <v>925</v>
      </c>
      <c r="C485" s="44">
        <v>2.66</v>
      </c>
      <c r="D485" s="44" t="s">
        <v>581</v>
      </c>
      <c r="E485" s="44" t="s">
        <v>742</v>
      </c>
      <c r="F485" s="44">
        <v>7.5600000000000005E-4</v>
      </c>
      <c r="G485" s="44">
        <v>4.4499999999999998E-2</v>
      </c>
      <c r="H485" s="44"/>
      <c r="I485" s="44" t="s">
        <v>164</v>
      </c>
      <c r="J485" s="22">
        <v>1.5999999999999999E-5</v>
      </c>
      <c r="K485" s="22"/>
    </row>
    <row r="486" spans="1:11" x14ac:dyDescent="0.15">
      <c r="A486" s="44" t="s">
        <v>202</v>
      </c>
      <c r="B486" s="44" t="s">
        <v>925</v>
      </c>
      <c r="C486" s="44">
        <v>2.66</v>
      </c>
      <c r="D486" s="44" t="s">
        <v>482</v>
      </c>
      <c r="E486" s="44" t="s">
        <v>742</v>
      </c>
      <c r="F486" s="44">
        <v>2.7060000000000001E-3</v>
      </c>
      <c r="G486" s="44">
        <v>5.8999999999999997E-2</v>
      </c>
      <c r="H486" s="44"/>
      <c r="I486" s="44" t="s">
        <v>164</v>
      </c>
      <c r="J486" s="22">
        <v>4.3300000000000002E-5</v>
      </c>
      <c r="K486" s="22"/>
    </row>
    <row r="487" spans="1:11" x14ac:dyDescent="0.15">
      <c r="A487" s="44" t="s">
        <v>202</v>
      </c>
      <c r="B487" s="44" t="s">
        <v>925</v>
      </c>
      <c r="C487" s="44">
        <v>2.66</v>
      </c>
      <c r="D487" s="44" t="s">
        <v>484</v>
      </c>
      <c r="E487" s="44" t="s">
        <v>742</v>
      </c>
      <c r="F487" s="44">
        <v>5.2810000000000001E-3</v>
      </c>
      <c r="G487" s="44">
        <v>1.066667E-2</v>
      </c>
      <c r="H487" s="44"/>
      <c r="I487" s="44" t="s">
        <v>164</v>
      </c>
      <c r="J487" s="22">
        <v>3.6127000000000002E-4</v>
      </c>
      <c r="K487" s="22"/>
    </row>
    <row r="488" spans="1:11" x14ac:dyDescent="0.15">
      <c r="A488" s="44" t="s">
        <v>202</v>
      </c>
      <c r="B488" s="44" t="s">
        <v>925</v>
      </c>
      <c r="C488" s="44">
        <v>2.66</v>
      </c>
      <c r="D488" s="44" t="s">
        <v>582</v>
      </c>
      <c r="E488" s="44" t="s">
        <v>742</v>
      </c>
      <c r="F488" s="44">
        <v>3.01E-4</v>
      </c>
      <c r="G488" s="44">
        <v>1.44E-2</v>
      </c>
      <c r="H488" s="44"/>
      <c r="I488" s="44" t="s">
        <v>164</v>
      </c>
      <c r="J488" s="22">
        <v>1.9700000000000001E-5</v>
      </c>
      <c r="K488" s="22"/>
    </row>
    <row r="489" spans="1:11" x14ac:dyDescent="0.15">
      <c r="A489" s="44" t="s">
        <v>202</v>
      </c>
      <c r="B489" s="44" t="s">
        <v>925</v>
      </c>
      <c r="C489" s="44">
        <v>2.66</v>
      </c>
      <c r="D489" s="44" t="s">
        <v>583</v>
      </c>
      <c r="E489" s="44" t="s">
        <v>742</v>
      </c>
      <c r="F489" s="41">
        <v>5.3000000000000001E-5</v>
      </c>
      <c r="G489" s="44">
        <v>4.4200000000000003E-2</v>
      </c>
      <c r="H489" s="44"/>
      <c r="I489" s="44" t="s">
        <v>164</v>
      </c>
      <c r="J489" s="22">
        <v>1.13E-6</v>
      </c>
      <c r="K489" s="22"/>
    </row>
    <row r="490" spans="1:11" x14ac:dyDescent="0.15">
      <c r="A490" s="44" t="s">
        <v>202</v>
      </c>
      <c r="B490" s="44" t="s">
        <v>925</v>
      </c>
      <c r="C490" s="44">
        <v>2.66</v>
      </c>
      <c r="D490" s="44" t="s">
        <v>584</v>
      </c>
      <c r="E490" s="44" t="s">
        <v>742</v>
      </c>
      <c r="F490" s="44">
        <v>8.8679999999999991E-3</v>
      </c>
      <c r="G490" s="44">
        <v>2.666667E-2</v>
      </c>
      <c r="H490" s="44"/>
      <c r="I490" s="44" t="s">
        <v>164</v>
      </c>
      <c r="J490" s="22">
        <v>2.8277E-4</v>
      </c>
      <c r="K490" s="22"/>
    </row>
    <row r="491" spans="1:11" x14ac:dyDescent="0.15">
      <c r="A491" s="44" t="s">
        <v>202</v>
      </c>
      <c r="B491" s="44" t="s">
        <v>925</v>
      </c>
      <c r="C491" s="44">
        <v>2.66</v>
      </c>
      <c r="D491" s="44" t="s">
        <v>585</v>
      </c>
      <c r="E491" s="44" t="s">
        <v>742</v>
      </c>
      <c r="F491" s="44">
        <v>3.4559999999999999E-3</v>
      </c>
      <c r="G491" s="44">
        <v>6.3666669999999995E-2</v>
      </c>
      <c r="H491" s="44"/>
      <c r="I491" s="44" t="s">
        <v>164</v>
      </c>
      <c r="J491" s="22">
        <v>3.9799999999999998E-5</v>
      </c>
      <c r="K491" s="22"/>
    </row>
    <row r="492" spans="1:11" x14ac:dyDescent="0.15">
      <c r="A492" s="44" t="s">
        <v>202</v>
      </c>
      <c r="B492" s="44" t="s">
        <v>925</v>
      </c>
      <c r="C492" s="44">
        <v>2.66</v>
      </c>
      <c r="D492" s="44" t="s">
        <v>586</v>
      </c>
      <c r="E492" s="44" t="s">
        <v>742</v>
      </c>
      <c r="F492" s="44">
        <v>1.1360000000000001E-3</v>
      </c>
      <c r="G492" s="44">
        <v>1.9666670000000001E-2</v>
      </c>
      <c r="H492" s="44"/>
      <c r="I492" s="44" t="s">
        <v>164</v>
      </c>
      <c r="J492" s="22">
        <v>5.1700000000000003E-5</v>
      </c>
      <c r="K492" s="22"/>
    </row>
    <row r="493" spans="1:11" x14ac:dyDescent="0.15">
      <c r="A493" s="44" t="s">
        <v>202</v>
      </c>
      <c r="B493" s="44" t="s">
        <v>925</v>
      </c>
      <c r="C493" s="44">
        <v>2.66</v>
      </c>
      <c r="D493" s="44" t="s">
        <v>587</v>
      </c>
      <c r="E493" s="44" t="s">
        <v>742</v>
      </c>
      <c r="F493" s="44">
        <v>9.8200000000000002E-4</v>
      </c>
      <c r="G493" s="44">
        <v>7.4499999999999997E-2</v>
      </c>
      <c r="H493" s="44"/>
      <c r="I493" s="44" t="s">
        <v>164</v>
      </c>
      <c r="J493" s="22">
        <v>1.24E-5</v>
      </c>
      <c r="K493" s="22"/>
    </row>
    <row r="494" spans="1:11" x14ac:dyDescent="0.15">
      <c r="A494" s="44" t="s">
        <v>202</v>
      </c>
      <c r="B494" s="44" t="s">
        <v>925</v>
      </c>
      <c r="C494" s="44">
        <v>2.66</v>
      </c>
      <c r="D494" s="44" t="s">
        <v>491</v>
      </c>
      <c r="E494" s="44" t="s">
        <v>742</v>
      </c>
      <c r="F494" s="44">
        <v>2.9759999999999999E-3</v>
      </c>
      <c r="G494" s="44">
        <v>2.1999999999999999E-2</v>
      </c>
      <c r="H494" s="44"/>
      <c r="I494" s="44" t="s">
        <v>164</v>
      </c>
      <c r="J494" s="22">
        <v>1.1336999999999999E-4</v>
      </c>
      <c r="K494" s="22"/>
    </row>
    <row r="495" spans="1:11" x14ac:dyDescent="0.15">
      <c r="A495" s="44" t="s">
        <v>202</v>
      </c>
      <c r="B495" s="44" t="s">
        <v>925</v>
      </c>
      <c r="C495" s="44">
        <v>2.66</v>
      </c>
      <c r="D495" s="44" t="s">
        <v>588</v>
      </c>
      <c r="E495" s="44" t="s">
        <v>742</v>
      </c>
      <c r="F495" s="44">
        <v>1.4270000000000001E-3</v>
      </c>
      <c r="G495" s="44">
        <v>3.3666670000000003E-2</v>
      </c>
      <c r="H495" s="44"/>
      <c r="I495" s="44" t="s">
        <v>164</v>
      </c>
      <c r="J495" s="22">
        <v>3.8600000000000003E-5</v>
      </c>
      <c r="K495" s="22"/>
    </row>
    <row r="496" spans="1:11" x14ac:dyDescent="0.15">
      <c r="A496" s="44" t="s">
        <v>202</v>
      </c>
      <c r="B496" s="44" t="s">
        <v>925</v>
      </c>
      <c r="C496" s="44">
        <v>2.66</v>
      </c>
      <c r="D496" s="44" t="s">
        <v>589</v>
      </c>
      <c r="E496" s="44" t="s">
        <v>743</v>
      </c>
      <c r="F496" s="44">
        <v>3.8099999999999999E-4</v>
      </c>
      <c r="G496" s="44">
        <v>3.133333E-2</v>
      </c>
      <c r="H496" s="44"/>
      <c r="I496" s="44" t="s">
        <v>164</v>
      </c>
      <c r="J496" s="22">
        <v>1.15E-5</v>
      </c>
      <c r="K496" s="22"/>
    </row>
    <row r="497" spans="1:11" x14ac:dyDescent="0.15">
      <c r="A497" s="44" t="s">
        <v>202</v>
      </c>
      <c r="B497" s="44" t="s">
        <v>925</v>
      </c>
      <c r="C497" s="44">
        <v>2.66</v>
      </c>
      <c r="D497" s="44" t="s">
        <v>590</v>
      </c>
      <c r="E497" s="44" t="s">
        <v>743</v>
      </c>
      <c r="F497" s="44">
        <v>1.6750000000000001E-3</v>
      </c>
      <c r="G497" s="44">
        <v>5.533333E-2</v>
      </c>
      <c r="H497" s="44"/>
      <c r="I497" s="44" t="s">
        <v>164</v>
      </c>
      <c r="J497" s="22">
        <v>2.8600000000000001E-5</v>
      </c>
      <c r="K497" s="22"/>
    </row>
    <row r="498" spans="1:11" x14ac:dyDescent="0.15">
      <c r="A498" s="44" t="s">
        <v>202</v>
      </c>
      <c r="B498" s="44" t="s">
        <v>925</v>
      </c>
      <c r="C498" s="44">
        <v>2.66</v>
      </c>
      <c r="D498" s="44" t="s">
        <v>591</v>
      </c>
      <c r="E498" s="44" t="s">
        <v>743</v>
      </c>
      <c r="F498" s="44">
        <v>6.87E-4</v>
      </c>
      <c r="G498" s="44">
        <v>5.6666670000000002E-2</v>
      </c>
      <c r="H498" s="44"/>
      <c r="I498" s="44" t="s">
        <v>164</v>
      </c>
      <c r="J498" s="22">
        <v>1.1399999999999999E-5</v>
      </c>
      <c r="K498" s="22"/>
    </row>
    <row r="499" spans="1:11" x14ac:dyDescent="0.15">
      <c r="A499" s="44" t="s">
        <v>202</v>
      </c>
      <c r="B499" s="44" t="s">
        <v>925</v>
      </c>
      <c r="C499" s="44">
        <v>2.66</v>
      </c>
      <c r="D499" s="44" t="s">
        <v>592</v>
      </c>
      <c r="E499" s="44" t="s">
        <v>743</v>
      </c>
      <c r="F499" s="44">
        <v>5.9800000000000001E-4</v>
      </c>
      <c r="G499" s="44">
        <v>1.5333329999999999E-2</v>
      </c>
      <c r="H499" s="44"/>
      <c r="I499" s="44" t="s">
        <v>164</v>
      </c>
      <c r="J499" s="22">
        <v>2.5299999999999998E-5</v>
      </c>
      <c r="K499" s="22"/>
    </row>
    <row r="500" spans="1:11" x14ac:dyDescent="0.15">
      <c r="A500" s="44" t="s">
        <v>202</v>
      </c>
      <c r="B500" s="44" t="s">
        <v>925</v>
      </c>
      <c r="C500" s="44">
        <v>2.66</v>
      </c>
      <c r="D500" s="44" t="s">
        <v>593</v>
      </c>
      <c r="E500" s="44" t="s">
        <v>743</v>
      </c>
      <c r="F500" s="44">
        <v>1.9699999999999999E-4</v>
      </c>
      <c r="G500" s="44">
        <v>3.933333E-2</v>
      </c>
      <c r="H500" s="44"/>
      <c r="I500" s="44" t="s">
        <v>164</v>
      </c>
      <c r="J500" s="22">
        <v>4.7199999999999997E-6</v>
      </c>
      <c r="K500" s="22"/>
    </row>
    <row r="501" spans="1:11" x14ac:dyDescent="0.15">
      <c r="A501" s="44" t="s">
        <v>202</v>
      </c>
      <c r="B501" s="44" t="s">
        <v>925</v>
      </c>
      <c r="C501" s="44">
        <v>2.66</v>
      </c>
      <c r="D501" s="44" t="s">
        <v>594</v>
      </c>
      <c r="E501" s="44" t="s">
        <v>743</v>
      </c>
      <c r="F501" s="44">
        <v>4.0099999999999999E-4</v>
      </c>
      <c r="G501" s="44">
        <v>1.7866670000000001E-2</v>
      </c>
      <c r="H501" s="44"/>
      <c r="I501" s="44" t="s">
        <v>164</v>
      </c>
      <c r="J501" s="22">
        <v>2.0699999999999998E-5</v>
      </c>
      <c r="K501" s="22"/>
    </row>
    <row r="502" spans="1:11" x14ac:dyDescent="0.15">
      <c r="A502" s="44" t="s">
        <v>202</v>
      </c>
      <c r="B502" s="44" t="s">
        <v>925</v>
      </c>
      <c r="C502" s="44">
        <v>2.66</v>
      </c>
      <c r="D502" s="44" t="s">
        <v>595</v>
      </c>
      <c r="E502" s="44" t="s">
        <v>743</v>
      </c>
      <c r="F502" s="44">
        <v>1.1310000000000001E-3</v>
      </c>
      <c r="G502" s="44">
        <v>8.1666699999999991E-3</v>
      </c>
      <c r="H502" s="44"/>
      <c r="I502" s="44" t="s">
        <v>164</v>
      </c>
      <c r="J502" s="22">
        <v>1.2250999999999999E-4</v>
      </c>
      <c r="K502" s="22"/>
    </row>
    <row r="503" spans="1:11" x14ac:dyDescent="0.15">
      <c r="A503" s="44" t="s">
        <v>202</v>
      </c>
      <c r="B503" s="44" t="s">
        <v>925</v>
      </c>
      <c r="C503" s="44">
        <v>2.66</v>
      </c>
      <c r="D503" s="44" t="s">
        <v>596</v>
      </c>
      <c r="E503" s="44" t="s">
        <v>743</v>
      </c>
      <c r="F503" s="44">
        <v>1.94E-4</v>
      </c>
      <c r="G503" s="44">
        <v>0.14899999999999999</v>
      </c>
      <c r="H503" s="44"/>
      <c r="I503" s="44" t="s">
        <v>164</v>
      </c>
      <c r="J503" s="22">
        <v>1.2300000000000001E-6</v>
      </c>
      <c r="K503" s="22"/>
    </row>
    <row r="504" spans="1:11" x14ac:dyDescent="0.15">
      <c r="A504" s="44" t="s">
        <v>202</v>
      </c>
      <c r="B504" s="44" t="s">
        <v>925</v>
      </c>
      <c r="C504" s="44">
        <v>2.66</v>
      </c>
      <c r="D504" s="44" t="s">
        <v>597</v>
      </c>
      <c r="E504" s="44" t="s">
        <v>743</v>
      </c>
      <c r="F504" s="44">
        <v>2.34E-4</v>
      </c>
      <c r="G504" s="44">
        <v>2.4500000000000001E-2</v>
      </c>
      <c r="H504" s="44"/>
      <c r="I504" s="44" t="s">
        <v>164</v>
      </c>
      <c r="J504" s="22">
        <v>9.0100000000000001E-6</v>
      </c>
      <c r="K504" s="22"/>
    </row>
    <row r="505" spans="1:11" x14ac:dyDescent="0.15">
      <c r="A505" s="44" t="s">
        <v>202</v>
      </c>
      <c r="B505" s="44" t="s">
        <v>925</v>
      </c>
      <c r="C505" s="44">
        <v>2.66</v>
      </c>
      <c r="D505" s="44" t="s">
        <v>598</v>
      </c>
      <c r="E505" s="44" t="s">
        <v>743</v>
      </c>
      <c r="F505" s="44">
        <v>7.2400000000000003E-4</v>
      </c>
      <c r="G505" s="44">
        <v>3.4000000000000002E-2</v>
      </c>
      <c r="H505" s="44"/>
      <c r="I505" s="44" t="s">
        <v>164</v>
      </c>
      <c r="J505" s="22">
        <v>2.0100000000000001E-5</v>
      </c>
      <c r="K505" s="22"/>
    </row>
    <row r="506" spans="1:11" x14ac:dyDescent="0.15">
      <c r="A506" s="44" t="s">
        <v>202</v>
      </c>
      <c r="B506" s="44" t="s">
        <v>925</v>
      </c>
      <c r="C506" s="44">
        <v>2.66</v>
      </c>
      <c r="D506" s="44" t="s">
        <v>599</v>
      </c>
      <c r="E506" s="44" t="s">
        <v>743</v>
      </c>
      <c r="F506" s="44">
        <v>2.14E-4</v>
      </c>
      <c r="G506" s="44">
        <v>2.1100000000000001E-2</v>
      </c>
      <c r="H506" s="44"/>
      <c r="I506" s="44" t="s">
        <v>164</v>
      </c>
      <c r="J506" s="22">
        <v>9.5699999999999999E-6</v>
      </c>
      <c r="K506" s="22"/>
    </row>
    <row r="507" spans="1:11" x14ac:dyDescent="0.15">
      <c r="A507" s="44" t="s">
        <v>202</v>
      </c>
      <c r="B507" s="44" t="s">
        <v>925</v>
      </c>
      <c r="C507" s="44">
        <v>2.66</v>
      </c>
      <c r="D507" s="44" t="s">
        <v>600</v>
      </c>
      <c r="E507" s="44" t="s">
        <v>743</v>
      </c>
      <c r="F507" s="44">
        <v>7.6499999999999995E-4</v>
      </c>
      <c r="G507" s="44">
        <v>6.3333299999999999E-3</v>
      </c>
      <c r="H507" s="44"/>
      <c r="I507" s="44" t="s">
        <v>164</v>
      </c>
      <c r="J507" s="22">
        <v>1.0383E-4</v>
      </c>
      <c r="K507" s="22"/>
    </row>
    <row r="508" spans="1:11" x14ac:dyDescent="0.15">
      <c r="A508" s="44" t="s">
        <v>202</v>
      </c>
      <c r="B508" s="44" t="s">
        <v>925</v>
      </c>
      <c r="C508" s="44">
        <v>2.66</v>
      </c>
      <c r="D508" s="44" t="s">
        <v>601</v>
      </c>
      <c r="E508" s="44" t="s">
        <v>743</v>
      </c>
      <c r="F508" s="44">
        <v>3.9579999999999997E-3</v>
      </c>
      <c r="G508" s="44">
        <v>0.1</v>
      </c>
      <c r="H508" s="44"/>
      <c r="I508" s="44" t="s">
        <v>164</v>
      </c>
      <c r="J508" s="22">
        <v>3.7299999999999999E-5</v>
      </c>
      <c r="K508" s="22"/>
    </row>
    <row r="509" spans="1:11" x14ac:dyDescent="0.15">
      <c r="A509" s="44" t="s">
        <v>202</v>
      </c>
      <c r="B509" s="44" t="s">
        <v>925</v>
      </c>
      <c r="C509" s="44">
        <v>2.66</v>
      </c>
      <c r="D509" s="44" t="s">
        <v>602</v>
      </c>
      <c r="E509" s="44" t="s">
        <v>743</v>
      </c>
      <c r="F509" s="44">
        <v>5.9999999999999995E-4</v>
      </c>
      <c r="G509" s="44">
        <v>8.5566700000000006E-3</v>
      </c>
      <c r="H509" s="44"/>
      <c r="I509" s="44" t="s">
        <v>164</v>
      </c>
      <c r="J509" s="22">
        <v>6.4599999999999998E-5</v>
      </c>
      <c r="K509" s="22"/>
    </row>
    <row r="510" spans="1:11" x14ac:dyDescent="0.15">
      <c r="A510" s="30" t="s">
        <v>204</v>
      </c>
      <c r="B510" s="30" t="s">
        <v>925</v>
      </c>
      <c r="C510" s="30">
        <v>6.6</v>
      </c>
      <c r="D510" s="30" t="s">
        <v>480</v>
      </c>
      <c r="E510" s="30" t="s">
        <v>742</v>
      </c>
      <c r="F510" s="30">
        <v>3.916E-2</v>
      </c>
      <c r="G510" s="30">
        <v>0.23066666999999999</v>
      </c>
      <c r="H510" s="30"/>
      <c r="I510" s="30" t="s">
        <v>164</v>
      </c>
      <c r="J510" s="22">
        <v>1.6016000000000001E-4</v>
      </c>
      <c r="K510" s="22" t="s">
        <v>366</v>
      </c>
    </row>
    <row r="511" spans="1:11" x14ac:dyDescent="0.15">
      <c r="A511" s="30" t="s">
        <v>204</v>
      </c>
      <c r="B511" s="30" t="s">
        <v>925</v>
      </c>
      <c r="C511" s="30">
        <v>6.6</v>
      </c>
      <c r="D511" s="30" t="s">
        <v>575</v>
      </c>
      <c r="E511" s="30" t="s">
        <v>742</v>
      </c>
      <c r="F511" s="30">
        <v>1.0057E-2</v>
      </c>
      <c r="G511" s="30">
        <v>0.1575</v>
      </c>
      <c r="H511" s="30"/>
      <c r="I511" s="30" t="s">
        <v>164</v>
      </c>
      <c r="J511" s="22">
        <v>6.02E-5</v>
      </c>
      <c r="K511" s="22"/>
    </row>
    <row r="512" spans="1:11" x14ac:dyDescent="0.15">
      <c r="A512" s="30" t="s">
        <v>204</v>
      </c>
      <c r="B512" s="30" t="s">
        <v>925</v>
      </c>
      <c r="C512" s="30">
        <v>6.6</v>
      </c>
      <c r="D512" s="30" t="s">
        <v>576</v>
      </c>
      <c r="E512" s="30" t="s">
        <v>742</v>
      </c>
      <c r="F512" s="30">
        <v>2.4039999999999999E-2</v>
      </c>
      <c r="G512" s="30">
        <v>0.13750000000000001</v>
      </c>
      <c r="H512" s="30"/>
      <c r="I512" s="30" t="s">
        <v>164</v>
      </c>
      <c r="J512" s="22">
        <v>1.6494E-4</v>
      </c>
      <c r="K512" s="22"/>
    </row>
    <row r="513" spans="1:11" x14ac:dyDescent="0.15">
      <c r="A513" s="30" t="s">
        <v>204</v>
      </c>
      <c r="B513" s="30" t="s">
        <v>925</v>
      </c>
      <c r="C513" s="30">
        <v>6.6</v>
      </c>
      <c r="D513" s="30" t="s">
        <v>577</v>
      </c>
      <c r="E513" s="30" t="s">
        <v>742</v>
      </c>
      <c r="F513" s="30">
        <v>5.806E-2</v>
      </c>
      <c r="G513" s="30">
        <v>0.13100000000000001</v>
      </c>
      <c r="H513" s="30"/>
      <c r="I513" s="30" t="s">
        <v>164</v>
      </c>
      <c r="J513" s="22">
        <v>4.1812000000000002E-4</v>
      </c>
      <c r="K513" s="22"/>
    </row>
    <row r="514" spans="1:11" x14ac:dyDescent="0.15">
      <c r="A514" s="30" t="s">
        <v>204</v>
      </c>
      <c r="B514" s="30" t="s">
        <v>925</v>
      </c>
      <c r="C514" s="30">
        <v>6.6</v>
      </c>
      <c r="D514" s="30" t="s">
        <v>578</v>
      </c>
      <c r="E514" s="30" t="s">
        <v>742</v>
      </c>
      <c r="F514" s="30">
        <v>3.9980000000000002E-2</v>
      </c>
      <c r="G514" s="30">
        <v>5.0666669999999997E-2</v>
      </c>
      <c r="H514" s="30"/>
      <c r="I514" s="30" t="s">
        <v>164</v>
      </c>
      <c r="J514" s="22">
        <v>6.7648999999999997E-4</v>
      </c>
      <c r="K514" s="22"/>
    </row>
    <row r="515" spans="1:11" x14ac:dyDescent="0.15">
      <c r="A515" s="30" t="s">
        <v>204</v>
      </c>
      <c r="B515" s="30" t="s">
        <v>925</v>
      </c>
      <c r="C515" s="30">
        <v>6.6</v>
      </c>
      <c r="D515" s="30" t="s">
        <v>579</v>
      </c>
      <c r="E515" s="30" t="s">
        <v>742</v>
      </c>
      <c r="F515" s="30">
        <v>2.9360000000000001E-2</v>
      </c>
      <c r="G515" s="30">
        <v>5.2333329999999997E-2</v>
      </c>
      <c r="H515" s="30"/>
      <c r="I515" s="30" t="s">
        <v>164</v>
      </c>
      <c r="J515" s="22">
        <v>4.6586000000000002E-4</v>
      </c>
      <c r="K515" s="22"/>
    </row>
    <row r="516" spans="1:11" x14ac:dyDescent="0.15">
      <c r="A516" s="30" t="s">
        <v>204</v>
      </c>
      <c r="B516" s="30" t="s">
        <v>925</v>
      </c>
      <c r="C516" s="30">
        <v>6.6</v>
      </c>
      <c r="D516" s="30" t="s">
        <v>580</v>
      </c>
      <c r="E516" s="30" t="s">
        <v>742</v>
      </c>
      <c r="F516" s="30">
        <v>4.9699999999999996E-3</v>
      </c>
      <c r="G516" s="30">
        <v>2.1666669999999999E-2</v>
      </c>
      <c r="H516" s="30"/>
      <c r="I516" s="30" t="s">
        <v>164</v>
      </c>
      <c r="J516" s="22">
        <v>1.6818000000000001E-4</v>
      </c>
      <c r="K516" s="22"/>
    </row>
    <row r="517" spans="1:11" x14ac:dyDescent="0.15">
      <c r="A517" s="30" t="s">
        <v>204</v>
      </c>
      <c r="B517" s="30" t="s">
        <v>925</v>
      </c>
      <c r="C517" s="30">
        <v>6.6</v>
      </c>
      <c r="D517" s="30" t="s">
        <v>581</v>
      </c>
      <c r="E517" s="30" t="s">
        <v>742</v>
      </c>
      <c r="F517" s="30">
        <v>5.1200000000000004E-3</v>
      </c>
      <c r="G517" s="30">
        <v>6.3333329999999993E-2</v>
      </c>
      <c r="H517" s="30"/>
      <c r="I517" s="30" t="s">
        <v>164</v>
      </c>
      <c r="J517" s="22">
        <v>7.6299999999999998E-5</v>
      </c>
      <c r="K517" s="22"/>
    </row>
    <row r="518" spans="1:11" x14ac:dyDescent="0.15">
      <c r="A518" s="30" t="s">
        <v>204</v>
      </c>
      <c r="B518" s="30" t="s">
        <v>925</v>
      </c>
      <c r="C518" s="30">
        <v>6.6</v>
      </c>
      <c r="D518" s="30" t="s">
        <v>482</v>
      </c>
      <c r="E518" s="30" t="s">
        <v>742</v>
      </c>
      <c r="F518" s="30">
        <v>1.771E-2</v>
      </c>
      <c r="G518" s="30">
        <v>8.633333E-2</v>
      </c>
      <c r="H518" s="30"/>
      <c r="I518" s="30" t="s">
        <v>164</v>
      </c>
      <c r="J518" s="22">
        <v>1.8997E-4</v>
      </c>
      <c r="K518" s="22"/>
    </row>
    <row r="519" spans="1:11" x14ac:dyDescent="0.15">
      <c r="A519" s="30" t="s">
        <v>204</v>
      </c>
      <c r="B519" s="30" t="s">
        <v>925</v>
      </c>
      <c r="C519" s="30">
        <v>6.6</v>
      </c>
      <c r="D519" s="30" t="s">
        <v>484</v>
      </c>
      <c r="E519" s="30" t="s">
        <v>742</v>
      </c>
      <c r="F519" s="30">
        <v>2.9229999999999999E-2</v>
      </c>
      <c r="G519" s="30">
        <v>2.2166669999999999E-2</v>
      </c>
      <c r="H519" s="30"/>
      <c r="I519" s="30" t="s">
        <v>164</v>
      </c>
      <c r="J519" s="22">
        <v>1.01903E-3</v>
      </c>
      <c r="K519" s="22"/>
    </row>
    <row r="520" spans="1:11" x14ac:dyDescent="0.15">
      <c r="A520" s="30" t="s">
        <v>204</v>
      </c>
      <c r="B520" s="30" t="s">
        <v>925</v>
      </c>
      <c r="C520" s="30">
        <v>6.6</v>
      </c>
      <c r="D520" s="30" t="s">
        <v>582</v>
      </c>
      <c r="E520" s="30" t="s">
        <v>742</v>
      </c>
      <c r="F520" s="30">
        <v>1.4E-3</v>
      </c>
      <c r="G520" s="30">
        <v>16.34</v>
      </c>
      <c r="H520" s="30"/>
      <c r="I520" s="30" t="s">
        <v>164</v>
      </c>
      <c r="J520" s="22">
        <v>6.8299999999999996E-8</v>
      </c>
      <c r="K520" s="22"/>
    </row>
    <row r="521" spans="1:11" x14ac:dyDescent="0.15">
      <c r="A521" s="30" t="s">
        <v>204</v>
      </c>
      <c r="B521" s="30" t="s">
        <v>925</v>
      </c>
      <c r="C521" s="30">
        <v>6.6</v>
      </c>
      <c r="D521" s="30" t="s">
        <v>583</v>
      </c>
      <c r="E521" s="30" t="s">
        <v>742</v>
      </c>
      <c r="F521" s="30">
        <v>4.8399999999999997E-3</v>
      </c>
      <c r="G521" s="30">
        <v>1.7666669999999999E-2</v>
      </c>
      <c r="H521" s="30"/>
      <c r="I521" s="30" t="s">
        <v>164</v>
      </c>
      <c r="J521" s="22">
        <v>1.9106E-4</v>
      </c>
      <c r="K521" s="22"/>
    </row>
    <row r="522" spans="1:11" x14ac:dyDescent="0.15">
      <c r="A522" s="30" t="s">
        <v>204</v>
      </c>
      <c r="B522" s="30" t="s">
        <v>925</v>
      </c>
      <c r="C522" s="30">
        <v>6.6</v>
      </c>
      <c r="D522" s="30" t="s">
        <v>584</v>
      </c>
      <c r="E522" s="30" t="s">
        <v>742</v>
      </c>
      <c r="F522" s="30">
        <v>4.9140000000000003E-2</v>
      </c>
      <c r="G522" s="30">
        <v>3.3333330000000001E-2</v>
      </c>
      <c r="H522" s="30"/>
      <c r="I522" s="30" t="s">
        <v>164</v>
      </c>
      <c r="J522" s="22">
        <v>1.00603E-3</v>
      </c>
      <c r="K522" s="22"/>
    </row>
    <row r="523" spans="1:11" x14ac:dyDescent="0.15">
      <c r="A523" s="30" t="s">
        <v>204</v>
      </c>
      <c r="B523" s="30" t="s">
        <v>925</v>
      </c>
      <c r="C523" s="30">
        <v>6.6</v>
      </c>
      <c r="D523" s="30" t="s">
        <v>585</v>
      </c>
      <c r="E523" s="30" t="s">
        <v>742</v>
      </c>
      <c r="F523" s="30">
        <v>1.942E-2</v>
      </c>
      <c r="G523" s="30">
        <v>5.5E-2</v>
      </c>
      <c r="H523" s="30"/>
      <c r="I523" s="30" t="s">
        <v>164</v>
      </c>
      <c r="J523" s="22">
        <v>3.1302000000000001E-4</v>
      </c>
      <c r="K523" s="22"/>
    </row>
    <row r="524" spans="1:11" x14ac:dyDescent="0.15">
      <c r="A524" s="30" t="s">
        <v>204</v>
      </c>
      <c r="B524" s="30" t="s">
        <v>925</v>
      </c>
      <c r="C524" s="30">
        <v>6.6</v>
      </c>
      <c r="D524" s="30" t="s">
        <v>586</v>
      </c>
      <c r="E524" s="30" t="s">
        <v>742</v>
      </c>
      <c r="F524" s="30">
        <v>8.8900000000000003E-3</v>
      </c>
      <c r="G524" s="30">
        <v>0.09</v>
      </c>
      <c r="H524" s="30"/>
      <c r="I524" s="30" t="s">
        <v>164</v>
      </c>
      <c r="J524" s="22">
        <v>9.3200000000000002E-5</v>
      </c>
      <c r="K524" s="22"/>
    </row>
    <row r="525" spans="1:11" x14ac:dyDescent="0.15">
      <c r="A525" s="30" t="s">
        <v>204</v>
      </c>
      <c r="B525" s="30" t="s">
        <v>925</v>
      </c>
      <c r="C525" s="30">
        <v>6.6</v>
      </c>
      <c r="D525" s="30" t="s">
        <v>587</v>
      </c>
      <c r="E525" s="30" t="s">
        <v>742</v>
      </c>
      <c r="F525" s="30">
        <v>5.1999999999999998E-3</v>
      </c>
      <c r="G525" s="30">
        <v>0.10066667</v>
      </c>
      <c r="H525" s="30"/>
      <c r="I525" s="30" t="s">
        <v>164</v>
      </c>
      <c r="J525" s="22">
        <v>4.7899999999999999E-5</v>
      </c>
      <c r="K525" s="22"/>
    </row>
    <row r="526" spans="1:11" x14ac:dyDescent="0.15">
      <c r="A526" s="30" t="s">
        <v>204</v>
      </c>
      <c r="B526" s="30" t="s">
        <v>925</v>
      </c>
      <c r="C526" s="30">
        <v>6.6</v>
      </c>
      <c r="D526" s="30" t="s">
        <v>491</v>
      </c>
      <c r="E526" s="30" t="s">
        <v>742</v>
      </c>
      <c r="F526" s="30">
        <v>1.6910000000000001E-2</v>
      </c>
      <c r="G526" s="30">
        <v>3.1E-2</v>
      </c>
      <c r="H526" s="30"/>
      <c r="I526" s="30" t="s">
        <v>164</v>
      </c>
      <c r="J526" s="22">
        <v>4.6639000000000001E-4</v>
      </c>
      <c r="K526" s="22"/>
    </row>
    <row r="527" spans="1:11" x14ac:dyDescent="0.15">
      <c r="A527" s="30" t="s">
        <v>204</v>
      </c>
      <c r="B527" s="30" t="s">
        <v>925</v>
      </c>
      <c r="C527" s="30">
        <v>6.6</v>
      </c>
      <c r="D527" s="30" t="s">
        <v>588</v>
      </c>
      <c r="E527" s="30" t="s">
        <v>742</v>
      </c>
      <c r="F527" s="30">
        <v>6.7799999999999996E-3</v>
      </c>
      <c r="G527" s="30">
        <v>5.7666670000000003E-2</v>
      </c>
      <c r="H527" s="30"/>
      <c r="I527" s="30" t="s">
        <v>164</v>
      </c>
      <c r="J527" s="22">
        <v>1.0713999999999999E-4</v>
      </c>
      <c r="K527" s="22"/>
    </row>
    <row r="528" spans="1:11" x14ac:dyDescent="0.15">
      <c r="A528" s="30" t="s">
        <v>204</v>
      </c>
      <c r="B528" s="30" t="s">
        <v>925</v>
      </c>
      <c r="C528" s="30">
        <v>6.6</v>
      </c>
      <c r="D528" s="30" t="s">
        <v>589</v>
      </c>
      <c r="E528" s="30" t="s">
        <v>743</v>
      </c>
      <c r="F528" s="30">
        <v>2.9499999999999999E-3</v>
      </c>
      <c r="G528" s="30">
        <v>5.3333329999999998E-2</v>
      </c>
      <c r="H528" s="30"/>
      <c r="I528" s="30" t="s">
        <v>164</v>
      </c>
      <c r="J528" s="22">
        <v>5.13E-5</v>
      </c>
      <c r="K528" s="22"/>
    </row>
    <row r="529" spans="1:11" x14ac:dyDescent="0.15">
      <c r="A529" s="30" t="s">
        <v>204</v>
      </c>
      <c r="B529" s="30" t="s">
        <v>925</v>
      </c>
      <c r="C529" s="30">
        <v>6.6</v>
      </c>
      <c r="D529" s="30" t="s">
        <v>590</v>
      </c>
      <c r="E529" s="30" t="s">
        <v>743</v>
      </c>
      <c r="F529" s="30">
        <v>8.3499999999999998E-3</v>
      </c>
      <c r="G529" s="30">
        <v>2.8799999999999999E-2</v>
      </c>
      <c r="H529" s="30"/>
      <c r="I529" s="30" t="s">
        <v>164</v>
      </c>
      <c r="J529" s="22">
        <v>2.4443000000000002E-4</v>
      </c>
      <c r="K529" s="22"/>
    </row>
    <row r="530" spans="1:11" x14ac:dyDescent="0.15">
      <c r="A530" s="30" t="s">
        <v>204</v>
      </c>
      <c r="B530" s="30" t="s">
        <v>925</v>
      </c>
      <c r="C530" s="30">
        <v>6.6</v>
      </c>
      <c r="D530" s="30" t="s">
        <v>591</v>
      </c>
      <c r="E530" s="30" t="s">
        <v>743</v>
      </c>
      <c r="F530" s="30">
        <v>4.2500000000000003E-3</v>
      </c>
      <c r="G530" s="30">
        <v>2.8666670000000002E-2</v>
      </c>
      <c r="H530" s="30"/>
      <c r="I530" s="30" t="s">
        <v>164</v>
      </c>
      <c r="J530" s="22">
        <v>1.1267E-4</v>
      </c>
      <c r="K530" s="22"/>
    </row>
    <row r="531" spans="1:11" x14ac:dyDescent="0.15">
      <c r="A531" s="30" t="s">
        <v>204</v>
      </c>
      <c r="B531" s="30" t="s">
        <v>925</v>
      </c>
      <c r="C531" s="30">
        <v>6.6</v>
      </c>
      <c r="D531" s="30" t="s">
        <v>592</v>
      </c>
      <c r="E531" s="30" t="s">
        <v>743</v>
      </c>
      <c r="F531" s="30">
        <v>5.22E-4</v>
      </c>
      <c r="G531" s="30">
        <v>1.5666670000000001E-2</v>
      </c>
      <c r="H531" s="30"/>
      <c r="I531" s="30" t="s">
        <v>164</v>
      </c>
      <c r="J531" s="22">
        <v>2.5199999999999999E-5</v>
      </c>
      <c r="K531" s="22"/>
    </row>
    <row r="532" spans="1:11" x14ac:dyDescent="0.15">
      <c r="A532" s="30" t="s">
        <v>204</v>
      </c>
      <c r="B532" s="30" t="s">
        <v>925</v>
      </c>
      <c r="C532" s="30">
        <v>6.6</v>
      </c>
      <c r="D532" s="30" t="s">
        <v>593</v>
      </c>
      <c r="E532" s="30" t="s">
        <v>743</v>
      </c>
      <c r="F532" s="30">
        <v>4.8599999999999997E-3</v>
      </c>
      <c r="G532" s="30">
        <v>1.2500000000000001E-2</v>
      </c>
      <c r="H532" s="30"/>
      <c r="I532" s="30" t="s">
        <v>164</v>
      </c>
      <c r="J532" s="22">
        <v>3.1218000000000001E-4</v>
      </c>
      <c r="K532" s="22"/>
    </row>
    <row r="533" spans="1:11" x14ac:dyDescent="0.15">
      <c r="A533" s="30" t="s">
        <v>204</v>
      </c>
      <c r="B533" s="30" t="s">
        <v>925</v>
      </c>
      <c r="C533" s="30">
        <v>6.6</v>
      </c>
      <c r="D533" s="30" t="s">
        <v>594</v>
      </c>
      <c r="E533" s="30" t="s">
        <v>743</v>
      </c>
      <c r="F533" s="30">
        <v>2.0500000000000002E-3</v>
      </c>
      <c r="G533" s="30">
        <v>1.3666670000000001E-2</v>
      </c>
      <c r="H533" s="30"/>
      <c r="I533" s="30" t="s">
        <v>164</v>
      </c>
      <c r="J533" s="22">
        <v>9.59E-5</v>
      </c>
      <c r="K533" s="22"/>
    </row>
    <row r="534" spans="1:11" x14ac:dyDescent="0.15">
      <c r="A534" s="30" t="s">
        <v>204</v>
      </c>
      <c r="B534" s="30" t="s">
        <v>925</v>
      </c>
      <c r="C534" s="30">
        <v>6.6</v>
      </c>
      <c r="D534" s="30" t="s">
        <v>595</v>
      </c>
      <c r="E534" s="30" t="s">
        <v>743</v>
      </c>
      <c r="F534" s="30">
        <v>6.4700000000000001E-3</v>
      </c>
      <c r="G534" s="30">
        <v>1.4200000000000001E-2</v>
      </c>
      <c r="H534" s="30"/>
      <c r="I534" s="30" t="s">
        <v>164</v>
      </c>
      <c r="J534" s="22">
        <v>3.7226000000000002E-4</v>
      </c>
      <c r="K534" s="22"/>
    </row>
    <row r="535" spans="1:11" x14ac:dyDescent="0.15">
      <c r="A535" s="30" t="s">
        <v>204</v>
      </c>
      <c r="B535" s="30" t="s">
        <v>925</v>
      </c>
      <c r="C535" s="30">
        <v>6.6</v>
      </c>
      <c r="D535" s="30" t="s">
        <v>596</v>
      </c>
      <c r="E535" s="30" t="s">
        <v>743</v>
      </c>
      <c r="F535" s="30">
        <v>8.7399999999999999E-4</v>
      </c>
      <c r="G535" s="30">
        <v>0.183</v>
      </c>
      <c r="H535" s="30"/>
      <c r="I535" s="30" t="s">
        <v>164</v>
      </c>
      <c r="J535" s="22">
        <v>4.51E-6</v>
      </c>
      <c r="K535" s="22"/>
    </row>
    <row r="536" spans="1:11" x14ac:dyDescent="0.15">
      <c r="A536" s="30" t="s">
        <v>204</v>
      </c>
      <c r="B536" s="30" t="s">
        <v>925</v>
      </c>
      <c r="C536" s="30">
        <v>6.6</v>
      </c>
      <c r="D536" s="30" t="s">
        <v>597</v>
      </c>
      <c r="E536" s="30" t="s">
        <v>743</v>
      </c>
      <c r="F536" s="30">
        <v>1.64E-3</v>
      </c>
      <c r="G536" s="30">
        <v>6.6E-3</v>
      </c>
      <c r="H536" s="30"/>
      <c r="I536" s="30" t="s">
        <v>164</v>
      </c>
      <c r="J536" s="22">
        <v>1.9951999999999999E-4</v>
      </c>
      <c r="K536" s="22"/>
    </row>
    <row r="537" spans="1:11" x14ac:dyDescent="0.15">
      <c r="A537" s="30" t="s">
        <v>204</v>
      </c>
      <c r="B537" s="30" t="s">
        <v>925</v>
      </c>
      <c r="C537" s="30">
        <v>6.6</v>
      </c>
      <c r="D537" s="30" t="s">
        <v>598</v>
      </c>
      <c r="E537" s="30" t="s">
        <v>743</v>
      </c>
      <c r="F537" s="30">
        <v>4.6560000000000004E-3</v>
      </c>
      <c r="G537" s="30">
        <v>1.14E-2</v>
      </c>
      <c r="H537" s="30"/>
      <c r="I537" s="30" t="s">
        <v>164</v>
      </c>
      <c r="J537" s="22">
        <v>3.4432000000000001E-4</v>
      </c>
      <c r="K537" s="22"/>
    </row>
    <row r="538" spans="1:11" x14ac:dyDescent="0.15">
      <c r="A538" s="30" t="s">
        <v>204</v>
      </c>
      <c r="B538" s="30" t="s">
        <v>925</v>
      </c>
      <c r="C538" s="30">
        <v>6.6</v>
      </c>
      <c r="D538" s="30" t="s">
        <v>599</v>
      </c>
      <c r="E538" s="30" t="s">
        <v>743</v>
      </c>
      <c r="F538" s="30">
        <v>1.8500000000000001E-3</v>
      </c>
      <c r="G538" s="30">
        <v>3.375E-3</v>
      </c>
      <c r="H538" s="30"/>
      <c r="I538" s="30" t="s">
        <v>164</v>
      </c>
      <c r="J538" s="22">
        <v>3.6566000000000002E-4</v>
      </c>
      <c r="K538" s="22"/>
    </row>
    <row r="539" spans="1:11" x14ac:dyDescent="0.15">
      <c r="A539" s="30" t="s">
        <v>204</v>
      </c>
      <c r="B539" s="30" t="s">
        <v>925</v>
      </c>
      <c r="C539" s="30">
        <v>6.6</v>
      </c>
      <c r="D539" s="30" t="s">
        <v>600</v>
      </c>
      <c r="E539" s="30" t="s">
        <v>743</v>
      </c>
      <c r="F539" s="30">
        <v>2.4740000000000001E-3</v>
      </c>
      <c r="G539" s="30">
        <v>2.1999999999999999E-2</v>
      </c>
      <c r="H539" s="30"/>
      <c r="I539" s="30" t="s">
        <v>164</v>
      </c>
      <c r="J539" s="22">
        <v>9.1899999999999998E-5</v>
      </c>
      <c r="K539" s="22"/>
    </row>
    <row r="540" spans="1:11" x14ac:dyDescent="0.15">
      <c r="A540" s="30" t="s">
        <v>204</v>
      </c>
      <c r="B540" s="30" t="s">
        <v>925</v>
      </c>
      <c r="C540" s="30">
        <v>6.6</v>
      </c>
      <c r="D540" s="30" t="s">
        <v>601</v>
      </c>
      <c r="E540" s="30" t="s">
        <v>743</v>
      </c>
      <c r="F540" s="30">
        <v>2.077E-2</v>
      </c>
      <c r="G540" s="30">
        <v>1.8800000000000001E-2</v>
      </c>
      <c r="H540" s="30"/>
      <c r="I540" s="30" t="s">
        <v>164</v>
      </c>
      <c r="J540" s="22">
        <v>9.7561000000000002E-4</v>
      </c>
      <c r="K540" s="22"/>
    </row>
    <row r="541" spans="1:11" x14ac:dyDescent="0.15">
      <c r="A541" s="30" t="s">
        <v>204</v>
      </c>
      <c r="B541" s="30" t="s">
        <v>925</v>
      </c>
      <c r="C541" s="30">
        <v>6.6</v>
      </c>
      <c r="D541" s="30" t="s">
        <v>602</v>
      </c>
      <c r="E541" s="30" t="s">
        <v>743</v>
      </c>
      <c r="F541" s="30">
        <v>3.15E-3</v>
      </c>
      <c r="G541" s="30">
        <v>7.1999999999999998E-3</v>
      </c>
      <c r="H541" s="30"/>
      <c r="I541" s="30" t="s">
        <v>164</v>
      </c>
      <c r="J541" s="22">
        <v>3.7096999999999998E-4</v>
      </c>
      <c r="K541" s="22"/>
    </row>
    <row r="542" spans="1:11" x14ac:dyDescent="0.15">
      <c r="A542" s="37" t="s">
        <v>205</v>
      </c>
      <c r="B542" s="37" t="s">
        <v>925</v>
      </c>
      <c r="C542" s="37">
        <v>36</v>
      </c>
      <c r="D542" s="37" t="s">
        <v>480</v>
      </c>
      <c r="E542" s="37" t="s">
        <v>742</v>
      </c>
      <c r="F542" s="37">
        <v>0.16569999999999999</v>
      </c>
      <c r="G542" s="37">
        <v>0.37266666999999998</v>
      </c>
      <c r="H542" s="37"/>
      <c r="I542" s="37" t="s">
        <v>164</v>
      </c>
      <c r="J542" s="22">
        <v>4.1947000000000002E-4</v>
      </c>
      <c r="K542" s="22" t="s">
        <v>366</v>
      </c>
    </row>
    <row r="543" spans="1:11" x14ac:dyDescent="0.15">
      <c r="A543" s="37" t="s">
        <v>205</v>
      </c>
      <c r="B543" s="37" t="s">
        <v>925</v>
      </c>
      <c r="C543" s="37">
        <v>36</v>
      </c>
      <c r="D543" s="37" t="s">
        <v>575</v>
      </c>
      <c r="E543" s="37" t="s">
        <v>742</v>
      </c>
      <c r="F543" s="37">
        <v>3.8800000000000001E-2</v>
      </c>
      <c r="G543" s="37">
        <v>0.17</v>
      </c>
      <c r="H543" s="37"/>
      <c r="I543" s="37" t="s">
        <v>164</v>
      </c>
      <c r="J543" s="22">
        <v>2.1531999999999999E-4</v>
      </c>
      <c r="K543" s="22"/>
    </row>
    <row r="544" spans="1:11" x14ac:dyDescent="0.15">
      <c r="A544" s="37" t="s">
        <v>205</v>
      </c>
      <c r="B544" s="37" t="s">
        <v>925</v>
      </c>
      <c r="C544" s="37">
        <v>36</v>
      </c>
      <c r="D544" s="37" t="s">
        <v>576</v>
      </c>
      <c r="E544" s="37" t="s">
        <v>742</v>
      </c>
      <c r="F544" s="37">
        <v>9.9500000000000005E-2</v>
      </c>
      <c r="G544" s="37">
        <v>0.12533332999999999</v>
      </c>
      <c r="H544" s="37"/>
      <c r="I544" s="37" t="s">
        <v>164</v>
      </c>
      <c r="J544" s="22">
        <v>7.4894999999999996E-4</v>
      </c>
      <c r="K544" s="22"/>
    </row>
    <row r="545" spans="1:11" x14ac:dyDescent="0.15">
      <c r="A545" s="37" t="s">
        <v>205</v>
      </c>
      <c r="B545" s="37" t="s">
        <v>925</v>
      </c>
      <c r="C545" s="37">
        <v>36</v>
      </c>
      <c r="D545" s="37" t="s">
        <v>577</v>
      </c>
      <c r="E545" s="37" t="s">
        <v>742</v>
      </c>
      <c r="F545" s="37">
        <v>0.20760000000000001</v>
      </c>
      <c r="G545" s="37">
        <v>0.42333333000000001</v>
      </c>
      <c r="H545" s="37"/>
      <c r="I545" s="37" t="s">
        <v>164</v>
      </c>
      <c r="J545" s="22">
        <v>4.6264E-4</v>
      </c>
      <c r="K545" s="22"/>
    </row>
    <row r="546" spans="1:11" x14ac:dyDescent="0.15">
      <c r="A546" s="37" t="s">
        <v>205</v>
      </c>
      <c r="B546" s="37" t="s">
        <v>925</v>
      </c>
      <c r="C546" s="37">
        <v>36</v>
      </c>
      <c r="D546" s="37" t="s">
        <v>578</v>
      </c>
      <c r="E546" s="37" t="s">
        <v>742</v>
      </c>
      <c r="F546" s="37">
        <v>0.13539999999999999</v>
      </c>
      <c r="G546" s="37">
        <v>0.16633333</v>
      </c>
      <c r="H546" s="37"/>
      <c r="I546" s="37" t="s">
        <v>164</v>
      </c>
      <c r="J546" s="22">
        <v>7.6794999999999999E-4</v>
      </c>
      <c r="K546" s="22"/>
    </row>
    <row r="547" spans="1:11" x14ac:dyDescent="0.15">
      <c r="A547" s="37" t="s">
        <v>205</v>
      </c>
      <c r="B547" s="37" t="s">
        <v>925</v>
      </c>
      <c r="C547" s="37">
        <v>36</v>
      </c>
      <c r="D547" s="37" t="s">
        <v>579</v>
      </c>
      <c r="E547" s="37" t="s">
        <v>742</v>
      </c>
      <c r="F547" s="37">
        <v>0.1075</v>
      </c>
      <c r="G547" s="37">
        <v>0.13666666999999999</v>
      </c>
      <c r="H547" s="37"/>
      <c r="I547" s="37" t="s">
        <v>164</v>
      </c>
      <c r="J547" s="22">
        <v>6.0033999999999999E-4</v>
      </c>
      <c r="K547" s="22"/>
    </row>
    <row r="548" spans="1:11" x14ac:dyDescent="0.15">
      <c r="A548" s="37" t="s">
        <v>205</v>
      </c>
      <c r="B548" s="37" t="s">
        <v>925</v>
      </c>
      <c r="C548" s="37">
        <v>36</v>
      </c>
      <c r="D548" s="37" t="s">
        <v>580</v>
      </c>
      <c r="E548" s="37" t="s">
        <v>742</v>
      </c>
      <c r="F548" s="37">
        <v>2.5000000000000001E-2</v>
      </c>
      <c r="G548" s="37">
        <v>8.3666669999999999E-2</v>
      </c>
      <c r="H548" s="37"/>
      <c r="I548" s="37" t="s">
        <v>164</v>
      </c>
      <c r="J548" s="22">
        <v>2.5117E-4</v>
      </c>
      <c r="K548" s="22"/>
    </row>
    <row r="549" spans="1:11" x14ac:dyDescent="0.15">
      <c r="A549" s="37" t="s">
        <v>205</v>
      </c>
      <c r="B549" s="37" t="s">
        <v>925</v>
      </c>
      <c r="C549" s="37">
        <v>36</v>
      </c>
      <c r="D549" s="37" t="s">
        <v>581</v>
      </c>
      <c r="E549" s="37" t="s">
        <v>742</v>
      </c>
      <c r="F549" s="37">
        <v>2.07E-2</v>
      </c>
      <c r="G549" s="37">
        <v>0.10199999999999999</v>
      </c>
      <c r="H549" s="37"/>
      <c r="I549" s="37" t="s">
        <v>164</v>
      </c>
      <c r="J549" s="22">
        <v>1.9144999999999999E-4</v>
      </c>
      <c r="K549" s="22"/>
    </row>
    <row r="550" spans="1:11" x14ac:dyDescent="0.15">
      <c r="A550" s="37" t="s">
        <v>205</v>
      </c>
      <c r="B550" s="37" t="s">
        <v>925</v>
      </c>
      <c r="C550" s="37">
        <v>36</v>
      </c>
      <c r="D550" s="37" t="s">
        <v>482</v>
      </c>
      <c r="E550" s="37" t="s">
        <v>742</v>
      </c>
      <c r="F550" s="37">
        <v>8.1500000000000003E-2</v>
      </c>
      <c r="G550" s="37">
        <v>0.17566667</v>
      </c>
      <c r="H550" s="37"/>
      <c r="I550" s="37" t="s">
        <v>164</v>
      </c>
      <c r="J550" s="22">
        <v>4.3769000000000002E-4</v>
      </c>
      <c r="K550" s="22"/>
    </row>
    <row r="551" spans="1:11" x14ac:dyDescent="0.15">
      <c r="A551" s="37" t="s">
        <v>205</v>
      </c>
      <c r="B551" s="37" t="s">
        <v>925</v>
      </c>
      <c r="C551" s="37">
        <v>36</v>
      </c>
      <c r="D551" s="37" t="s">
        <v>484</v>
      </c>
      <c r="E551" s="37" t="s">
        <v>742</v>
      </c>
      <c r="F551" s="37">
        <v>9.9000000000000005E-2</v>
      </c>
      <c r="G551" s="37">
        <v>0.14499999999999999</v>
      </c>
      <c r="H551" s="37"/>
      <c r="I551" s="37" t="s">
        <v>164</v>
      </c>
      <c r="J551" s="22">
        <v>5.8843000000000003E-4</v>
      </c>
      <c r="K551" s="22"/>
    </row>
    <row r="552" spans="1:11" x14ac:dyDescent="0.15">
      <c r="A552" s="37" t="s">
        <v>205</v>
      </c>
      <c r="B552" s="37" t="s">
        <v>925</v>
      </c>
      <c r="C552" s="37">
        <v>36</v>
      </c>
      <c r="D552" s="37" t="s">
        <v>582</v>
      </c>
      <c r="E552" s="37" t="s">
        <v>742</v>
      </c>
      <c r="F552" s="37">
        <v>7.7000000000000002E-3</v>
      </c>
      <c r="G552" s="37">
        <v>6.6333329999999996E-2</v>
      </c>
      <c r="H552" s="37"/>
      <c r="I552" s="37" t="s">
        <v>164</v>
      </c>
      <c r="J552" s="22">
        <v>1.0951E-4</v>
      </c>
      <c r="K552" s="22"/>
    </row>
    <row r="553" spans="1:11" x14ac:dyDescent="0.15">
      <c r="A553" s="37" t="s">
        <v>205</v>
      </c>
      <c r="B553" s="37" t="s">
        <v>925</v>
      </c>
      <c r="C553" s="37">
        <v>36</v>
      </c>
      <c r="D553" s="37" t="s">
        <v>583</v>
      </c>
      <c r="E553" s="37" t="s">
        <v>742</v>
      </c>
      <c r="F553" s="37">
        <v>5.9999999999999995E-4</v>
      </c>
      <c r="G553" s="37">
        <v>1.266667E-2</v>
      </c>
      <c r="H553" s="37"/>
      <c r="I553" s="37" t="s">
        <v>164</v>
      </c>
      <c r="J553" s="22">
        <v>4.4700000000000002E-5</v>
      </c>
      <c r="K553" s="22"/>
    </row>
    <row r="554" spans="1:11" x14ac:dyDescent="0.15">
      <c r="A554" s="37" t="s">
        <v>205</v>
      </c>
      <c r="B554" s="37" t="s">
        <v>925</v>
      </c>
      <c r="C554" s="37">
        <v>36</v>
      </c>
      <c r="D554" s="37" t="s">
        <v>584</v>
      </c>
      <c r="E554" s="37" t="s">
        <v>742</v>
      </c>
      <c r="F554" s="37">
        <v>0.19869999999999999</v>
      </c>
      <c r="G554" s="37">
        <v>0.19933333</v>
      </c>
      <c r="H554" s="37"/>
      <c r="I554" s="37" t="s">
        <v>164</v>
      </c>
      <c r="J554" s="22">
        <v>8.2773999999999999E-4</v>
      </c>
      <c r="K554" s="22"/>
    </row>
    <row r="555" spans="1:11" x14ac:dyDescent="0.15">
      <c r="A555" s="37" t="s">
        <v>205</v>
      </c>
      <c r="B555" s="37" t="s">
        <v>925</v>
      </c>
      <c r="C555" s="37">
        <v>36</v>
      </c>
      <c r="D555" s="37" t="s">
        <v>585</v>
      </c>
      <c r="E555" s="37" t="s">
        <v>742</v>
      </c>
      <c r="F555" s="37">
        <v>7.9699999999999993E-2</v>
      </c>
      <c r="G555" s="37">
        <v>0.17433333000000001</v>
      </c>
      <c r="H555" s="37"/>
      <c r="I555" s="37" t="s">
        <v>164</v>
      </c>
      <c r="J555" s="22">
        <v>4.3129000000000003E-4</v>
      </c>
      <c r="K555" s="22"/>
    </row>
    <row r="556" spans="1:11" x14ac:dyDescent="0.15">
      <c r="A556" s="37" t="s">
        <v>205</v>
      </c>
      <c r="B556" s="37" t="s">
        <v>925</v>
      </c>
      <c r="C556" s="37">
        <v>36</v>
      </c>
      <c r="D556" s="37" t="s">
        <v>586</v>
      </c>
      <c r="E556" s="37" t="s">
        <v>742</v>
      </c>
      <c r="F556" s="37">
        <v>2.1999999999999999E-2</v>
      </c>
      <c r="G556" s="37">
        <v>0.107</v>
      </c>
      <c r="H556" s="37"/>
      <c r="I556" s="37" t="s">
        <v>164</v>
      </c>
      <c r="J556" s="22">
        <v>1.9396999999999999E-4</v>
      </c>
      <c r="K556" s="22"/>
    </row>
    <row r="557" spans="1:11" x14ac:dyDescent="0.15">
      <c r="A557" s="37" t="s">
        <v>205</v>
      </c>
      <c r="B557" s="37" t="s">
        <v>925</v>
      </c>
      <c r="C557" s="37">
        <v>36</v>
      </c>
      <c r="D557" s="37" t="s">
        <v>587</v>
      </c>
      <c r="E557" s="37" t="s">
        <v>742</v>
      </c>
      <c r="F557" s="37">
        <v>2.64E-2</v>
      </c>
      <c r="G557" s="37">
        <v>0.14566667</v>
      </c>
      <c r="H557" s="37"/>
      <c r="I557" s="37" t="s">
        <v>164</v>
      </c>
      <c r="J557" s="22">
        <v>1.7097999999999999E-4</v>
      </c>
      <c r="K557" s="22"/>
    </row>
    <row r="558" spans="1:11" x14ac:dyDescent="0.15">
      <c r="A558" s="37" t="s">
        <v>205</v>
      </c>
      <c r="B558" s="37" t="s">
        <v>925</v>
      </c>
      <c r="C558" s="37">
        <v>36</v>
      </c>
      <c r="D558" s="37" t="s">
        <v>491</v>
      </c>
      <c r="E558" s="37" t="s">
        <v>742</v>
      </c>
      <c r="F558" s="37">
        <v>6.4299999999999996E-2</v>
      </c>
      <c r="G558" s="37">
        <v>3.866667E-2</v>
      </c>
      <c r="H558" s="37"/>
      <c r="I558" s="37" t="s">
        <v>164</v>
      </c>
      <c r="J558" s="22">
        <v>1.3765100000000001E-3</v>
      </c>
      <c r="K558" s="22"/>
    </row>
    <row r="559" spans="1:11" x14ac:dyDescent="0.15">
      <c r="A559" s="37" t="s">
        <v>205</v>
      </c>
      <c r="B559" s="37" t="s">
        <v>925</v>
      </c>
      <c r="C559" s="37">
        <v>36</v>
      </c>
      <c r="D559" s="37" t="s">
        <v>588</v>
      </c>
      <c r="E559" s="37" t="s">
        <v>742</v>
      </c>
      <c r="F559" s="37">
        <v>2.9700000000000001E-2</v>
      </c>
      <c r="G559" s="37">
        <v>7.6999999999999999E-2</v>
      </c>
      <c r="H559" s="37"/>
      <c r="I559" s="37" t="s">
        <v>164</v>
      </c>
      <c r="J559" s="22">
        <v>2.9685999999999997E-4</v>
      </c>
      <c r="K559" s="22"/>
    </row>
    <row r="560" spans="1:11" x14ac:dyDescent="0.15">
      <c r="A560" s="37" t="s">
        <v>205</v>
      </c>
      <c r="B560" s="37" t="s">
        <v>925</v>
      </c>
      <c r="C560" s="37">
        <v>36</v>
      </c>
      <c r="D560" s="37" t="s">
        <v>589</v>
      </c>
      <c r="E560" s="37" t="s">
        <v>743</v>
      </c>
      <c r="F560" s="37">
        <v>1.6400000000000001E-2</v>
      </c>
      <c r="G560" s="37">
        <v>0.10133333</v>
      </c>
      <c r="H560" s="37"/>
      <c r="I560" s="37" t="s">
        <v>164</v>
      </c>
      <c r="J560" s="22">
        <v>1.5268000000000001E-4</v>
      </c>
      <c r="K560" s="22"/>
    </row>
    <row r="561" spans="1:11" x14ac:dyDescent="0.15">
      <c r="A561" s="37" t="s">
        <v>205</v>
      </c>
      <c r="B561" s="37" t="s">
        <v>925</v>
      </c>
      <c r="C561" s="37">
        <v>36</v>
      </c>
      <c r="D561" s="37" t="s">
        <v>590</v>
      </c>
      <c r="E561" s="37" t="s">
        <v>743</v>
      </c>
      <c r="F561" s="37">
        <v>3.2000000000000001E-2</v>
      </c>
      <c r="G561" s="37">
        <v>5.7333330000000002E-2</v>
      </c>
      <c r="H561" s="37"/>
      <c r="I561" s="37" t="s">
        <v>164</v>
      </c>
      <c r="J561" s="22">
        <v>4.6201E-4</v>
      </c>
      <c r="K561" s="22"/>
    </row>
    <row r="562" spans="1:11" x14ac:dyDescent="0.15">
      <c r="A562" s="37" t="s">
        <v>205</v>
      </c>
      <c r="B562" s="37" t="s">
        <v>925</v>
      </c>
      <c r="C562" s="37">
        <v>36</v>
      </c>
      <c r="D562" s="37" t="s">
        <v>591</v>
      </c>
      <c r="E562" s="37" t="s">
        <v>743</v>
      </c>
      <c r="F562" s="37">
        <v>1.9599999999999999E-2</v>
      </c>
      <c r="G562" s="37">
        <v>4.8333330000000001E-2</v>
      </c>
      <c r="H562" s="37"/>
      <c r="I562" s="37" t="s">
        <v>164</v>
      </c>
      <c r="J562" s="22">
        <v>3.2560999999999999E-4</v>
      </c>
      <c r="K562" s="22"/>
    </row>
    <row r="563" spans="1:11" x14ac:dyDescent="0.15">
      <c r="A563" s="37" t="s">
        <v>205</v>
      </c>
      <c r="B563" s="37" t="s">
        <v>925</v>
      </c>
      <c r="C563" s="37">
        <v>36</v>
      </c>
      <c r="D563" s="37" t="s">
        <v>592</v>
      </c>
      <c r="E563" s="37" t="s">
        <v>743</v>
      </c>
      <c r="F563" s="37">
        <v>1.0200000000000001E-2</v>
      </c>
      <c r="G563" s="37">
        <v>3.5000000000000003E-2</v>
      </c>
      <c r="H563" s="37"/>
      <c r="I563" s="37" t="s">
        <v>164</v>
      </c>
      <c r="J563" s="22">
        <v>2.7493E-4</v>
      </c>
      <c r="K563" s="22"/>
    </row>
    <row r="564" spans="1:11" x14ac:dyDescent="0.15">
      <c r="A564" s="37" t="s">
        <v>205</v>
      </c>
      <c r="B564" s="37" t="s">
        <v>925</v>
      </c>
      <c r="C564" s="37">
        <v>36</v>
      </c>
      <c r="D564" s="37" t="s">
        <v>593</v>
      </c>
      <c r="E564" s="37" t="s">
        <v>743</v>
      </c>
      <c r="F564" s="37">
        <v>3.8E-3</v>
      </c>
      <c r="G564" s="37">
        <v>3.133333E-2</v>
      </c>
      <c r="H564" s="37"/>
      <c r="I564" s="37" t="s">
        <v>164</v>
      </c>
      <c r="J564" s="22">
        <v>1.0283E-4</v>
      </c>
      <c r="K564" s="22"/>
    </row>
    <row r="565" spans="1:11" x14ac:dyDescent="0.15">
      <c r="A565" s="37" t="s">
        <v>205</v>
      </c>
      <c r="B565" s="37" t="s">
        <v>925</v>
      </c>
      <c r="C565" s="37">
        <v>36</v>
      </c>
      <c r="D565" s="37" t="s">
        <v>594</v>
      </c>
      <c r="E565" s="37" t="s">
        <v>743</v>
      </c>
      <c r="F565" s="37">
        <v>9.1999999999999998E-3</v>
      </c>
      <c r="G565" s="37">
        <v>1.466667E-2</v>
      </c>
      <c r="H565" s="37"/>
      <c r="I565" s="37" t="s">
        <v>164</v>
      </c>
      <c r="J565" s="22">
        <v>4.2087E-4</v>
      </c>
      <c r="K565" s="22"/>
    </row>
    <row r="566" spans="1:11" x14ac:dyDescent="0.15">
      <c r="A566" s="37" t="s">
        <v>205</v>
      </c>
      <c r="B566" s="37" t="s">
        <v>925</v>
      </c>
      <c r="C566" s="37">
        <v>36</v>
      </c>
      <c r="D566" s="37" t="s">
        <v>595</v>
      </c>
      <c r="E566" s="37" t="s">
        <v>743</v>
      </c>
      <c r="F566" s="37">
        <v>1.9599999999999999E-2</v>
      </c>
      <c r="G566" s="37">
        <v>2.725E-2</v>
      </c>
      <c r="H566" s="37"/>
      <c r="I566" s="37" t="s">
        <v>164</v>
      </c>
      <c r="J566" s="22">
        <v>4.6923000000000001E-4</v>
      </c>
      <c r="K566" s="22"/>
    </row>
    <row r="567" spans="1:11" x14ac:dyDescent="0.15">
      <c r="A567" s="37" t="s">
        <v>205</v>
      </c>
      <c r="B567" s="37" t="s">
        <v>925</v>
      </c>
      <c r="C567" s="37">
        <v>36</v>
      </c>
      <c r="D567" s="37" t="s">
        <v>596</v>
      </c>
      <c r="E567" s="37" t="s">
        <v>743</v>
      </c>
      <c r="F567" s="37">
        <v>8.9999999999999993E-3</v>
      </c>
      <c r="G567" s="37">
        <v>0.24199999999999999</v>
      </c>
      <c r="H567" s="37"/>
      <c r="I567" s="37" t="s">
        <v>164</v>
      </c>
      <c r="J567" s="22">
        <v>3.5099999999999999E-5</v>
      </c>
      <c r="K567" s="22"/>
    </row>
    <row r="568" spans="1:11" x14ac:dyDescent="0.15">
      <c r="A568" s="37" t="s">
        <v>205</v>
      </c>
      <c r="B568" s="37" t="s">
        <v>925</v>
      </c>
      <c r="C568" s="37">
        <v>36</v>
      </c>
      <c r="D568" s="37" t="s">
        <v>597</v>
      </c>
      <c r="E568" s="37" t="s">
        <v>743</v>
      </c>
      <c r="F568" s="37">
        <v>7.4999999999999997E-3</v>
      </c>
      <c r="G568" s="37">
        <v>9.6666700000000005E-3</v>
      </c>
      <c r="H568" s="37"/>
      <c r="I568" s="37" t="s">
        <v>164</v>
      </c>
      <c r="J568" s="22">
        <v>5.9712000000000003E-4</v>
      </c>
      <c r="K568" s="22"/>
    </row>
    <row r="569" spans="1:11" x14ac:dyDescent="0.15">
      <c r="A569" s="37" t="s">
        <v>205</v>
      </c>
      <c r="B569" s="37" t="s">
        <v>925</v>
      </c>
      <c r="C569" s="37">
        <v>36</v>
      </c>
      <c r="D569" s="37" t="s">
        <v>598</v>
      </c>
      <c r="E569" s="37" t="s">
        <v>743</v>
      </c>
      <c r="F569" s="37">
        <v>1.9300000000000001E-2</v>
      </c>
      <c r="G569" s="37">
        <v>4.3999999999999997E-2</v>
      </c>
      <c r="H569" s="37"/>
      <c r="I569" s="37" t="s">
        <v>164</v>
      </c>
      <c r="J569" s="22">
        <v>4.0265E-4</v>
      </c>
      <c r="K569" s="22"/>
    </row>
    <row r="570" spans="1:11" x14ac:dyDescent="0.15">
      <c r="A570" s="37" t="s">
        <v>205</v>
      </c>
      <c r="B570" s="37" t="s">
        <v>925</v>
      </c>
      <c r="C570" s="37">
        <v>36</v>
      </c>
      <c r="D570" s="37" t="s">
        <v>599</v>
      </c>
      <c r="E570" s="37" t="s">
        <v>743</v>
      </c>
      <c r="F570" s="37">
        <v>3.8E-3</v>
      </c>
      <c r="G570" s="37">
        <v>1.1333330000000001E-2</v>
      </c>
      <c r="H570" s="37"/>
      <c r="I570" s="37" t="s">
        <v>164</v>
      </c>
      <c r="J570" s="22">
        <v>2.9908000000000002E-4</v>
      </c>
      <c r="K570" s="22"/>
    </row>
    <row r="571" spans="1:11" x14ac:dyDescent="0.15">
      <c r="A571" s="37" t="s">
        <v>205</v>
      </c>
      <c r="B571" s="37" t="s">
        <v>925</v>
      </c>
      <c r="C571" s="37">
        <v>36</v>
      </c>
      <c r="D571" s="37" t="s">
        <v>600</v>
      </c>
      <c r="E571" s="37" t="s">
        <v>743</v>
      </c>
      <c r="F571" s="37">
        <v>1.03E-2</v>
      </c>
      <c r="G571" s="37">
        <v>1.466667E-2</v>
      </c>
      <c r="H571" s="37"/>
      <c r="I571" s="37" t="s">
        <v>164</v>
      </c>
      <c r="J571" s="22">
        <v>5.7757999999999996E-4</v>
      </c>
      <c r="K571" s="22"/>
    </row>
    <row r="572" spans="1:11" x14ac:dyDescent="0.15">
      <c r="A572" s="37" t="s">
        <v>205</v>
      </c>
      <c r="B572" s="37" t="s">
        <v>925</v>
      </c>
      <c r="C572" s="37">
        <v>36</v>
      </c>
      <c r="D572" s="37" t="s">
        <v>601</v>
      </c>
      <c r="E572" s="37" t="s">
        <v>743</v>
      </c>
      <c r="F572" s="37">
        <v>8.6199999999999999E-2</v>
      </c>
      <c r="G572" s="37">
        <v>4.3200000000000002E-2</v>
      </c>
      <c r="H572" s="37"/>
      <c r="I572" s="37" t="s">
        <v>164</v>
      </c>
      <c r="J572" s="22">
        <v>1.7453499999999999E-3</v>
      </c>
      <c r="K572" s="22"/>
    </row>
    <row r="573" spans="1:11" x14ac:dyDescent="0.15">
      <c r="A573" s="37" t="s">
        <v>205</v>
      </c>
      <c r="B573" s="37" t="s">
        <v>925</v>
      </c>
      <c r="C573" s="37">
        <v>36</v>
      </c>
      <c r="D573" s="37" t="s">
        <v>602</v>
      </c>
      <c r="E573" s="37" t="s">
        <v>743</v>
      </c>
      <c r="F573" s="37">
        <v>1.43E-2</v>
      </c>
      <c r="G573" s="37">
        <v>3.933333E-2</v>
      </c>
      <c r="H573" s="37"/>
      <c r="I573" s="37" t="s">
        <v>164</v>
      </c>
      <c r="J573" s="22">
        <v>3.2740999999999998E-4</v>
      </c>
      <c r="K573" s="22"/>
    </row>
    <row r="574" spans="1:11" x14ac:dyDescent="0.15">
      <c r="A574" s="43" t="s">
        <v>206</v>
      </c>
      <c r="B574" s="43" t="s">
        <v>925</v>
      </c>
      <c r="C574" s="43">
        <v>44</v>
      </c>
      <c r="D574" s="43" t="s">
        <v>480</v>
      </c>
      <c r="E574" s="43" t="s">
        <v>742</v>
      </c>
      <c r="F574" s="43">
        <v>0.37430000000000002</v>
      </c>
      <c r="G574" s="43">
        <v>0.37566666700000001</v>
      </c>
      <c r="H574" s="43"/>
      <c r="I574" s="43" t="s">
        <v>164</v>
      </c>
      <c r="J574" s="22">
        <v>9.3996399999999995E-4</v>
      </c>
      <c r="K574" s="22" t="s">
        <v>366</v>
      </c>
    </row>
    <row r="575" spans="1:11" x14ac:dyDescent="0.15">
      <c r="A575" s="43" t="s">
        <v>206</v>
      </c>
      <c r="B575" s="43" t="s">
        <v>925</v>
      </c>
      <c r="C575" s="43">
        <v>44</v>
      </c>
      <c r="D575" s="43" t="s">
        <v>575</v>
      </c>
      <c r="E575" s="43" t="s">
        <v>742</v>
      </c>
      <c r="F575" s="43">
        <v>8.7069999999999995E-2</v>
      </c>
      <c r="G575" s="43">
        <v>0.193</v>
      </c>
      <c r="H575" s="43"/>
      <c r="I575" s="43" t="s">
        <v>164</v>
      </c>
      <c r="J575" s="22">
        <v>4.25604E-4</v>
      </c>
      <c r="K575" s="22"/>
    </row>
    <row r="576" spans="1:11" x14ac:dyDescent="0.15">
      <c r="A576" s="43" t="s">
        <v>206</v>
      </c>
      <c r="B576" s="43" t="s">
        <v>925</v>
      </c>
      <c r="C576" s="43">
        <v>44</v>
      </c>
      <c r="D576" s="43" t="s">
        <v>576</v>
      </c>
      <c r="E576" s="43" t="s">
        <v>742</v>
      </c>
      <c r="F576" s="43">
        <v>7.9000000000000001E-2</v>
      </c>
      <c r="G576" s="43">
        <v>0.1784</v>
      </c>
      <c r="H576" s="43"/>
      <c r="I576" s="43" t="s">
        <v>164</v>
      </c>
      <c r="J576" s="22">
        <v>4.1775999999999998E-4</v>
      </c>
      <c r="K576" s="22"/>
    </row>
    <row r="577" spans="1:11" x14ac:dyDescent="0.15">
      <c r="A577" s="43" t="s">
        <v>206</v>
      </c>
      <c r="B577" s="43" t="s">
        <v>925</v>
      </c>
      <c r="C577" s="43">
        <v>44</v>
      </c>
      <c r="D577" s="43" t="s">
        <v>577</v>
      </c>
      <c r="E577" s="43" t="s">
        <v>742</v>
      </c>
      <c r="F577" s="43">
        <v>0.45900000000000002</v>
      </c>
      <c r="G577" s="43">
        <v>0.21099999999999999</v>
      </c>
      <c r="H577" s="43"/>
      <c r="I577" s="43" t="s">
        <v>164</v>
      </c>
      <c r="J577" s="22">
        <v>2.0522219999999998E-3</v>
      </c>
      <c r="K577" s="22"/>
    </row>
    <row r="578" spans="1:11" x14ac:dyDescent="0.15">
      <c r="A578" s="43" t="s">
        <v>206</v>
      </c>
      <c r="B578" s="43" t="s">
        <v>925</v>
      </c>
      <c r="C578" s="43">
        <v>44</v>
      </c>
      <c r="D578" s="43" t="s">
        <v>578</v>
      </c>
      <c r="E578" s="43" t="s">
        <v>742</v>
      </c>
      <c r="F578" s="43">
        <v>0.18920000000000001</v>
      </c>
      <c r="G578" s="43">
        <v>6.0199999999999997E-2</v>
      </c>
      <c r="H578" s="43"/>
      <c r="I578" s="43" t="s">
        <v>164</v>
      </c>
      <c r="J578" s="22">
        <v>2.8726659999999998E-3</v>
      </c>
      <c r="K578" s="22"/>
    </row>
    <row r="579" spans="1:11" x14ac:dyDescent="0.15">
      <c r="A579" s="43" t="s">
        <v>206</v>
      </c>
      <c r="B579" s="43" t="s">
        <v>925</v>
      </c>
      <c r="C579" s="43">
        <v>44</v>
      </c>
      <c r="D579" s="43" t="s">
        <v>579</v>
      </c>
      <c r="E579" s="43" t="s">
        <v>742</v>
      </c>
      <c r="F579" s="43">
        <v>0.13600000000000001</v>
      </c>
      <c r="G579" s="43">
        <v>4.3799999999999999E-2</v>
      </c>
      <c r="H579" s="43"/>
      <c r="I579" s="43" t="s">
        <v>164</v>
      </c>
      <c r="J579" s="22">
        <v>2.5619940000000002E-3</v>
      </c>
      <c r="K579" s="22"/>
    </row>
    <row r="580" spans="1:11" x14ac:dyDescent="0.15">
      <c r="A580" s="43" t="s">
        <v>206</v>
      </c>
      <c r="B580" s="43" t="s">
        <v>925</v>
      </c>
      <c r="C580" s="43">
        <v>44</v>
      </c>
      <c r="D580" s="43" t="s">
        <v>580</v>
      </c>
      <c r="E580" s="43" t="s">
        <v>742</v>
      </c>
      <c r="F580" s="43">
        <v>2.8199999999999999E-2</v>
      </c>
      <c r="G580" s="43">
        <v>2.9000000000000001E-2</v>
      </c>
      <c r="H580" s="43"/>
      <c r="I580" s="43" t="s">
        <v>164</v>
      </c>
      <c r="J580" s="22">
        <v>6.99305E-4</v>
      </c>
      <c r="K580" s="22"/>
    </row>
    <row r="581" spans="1:11" x14ac:dyDescent="0.15">
      <c r="A581" s="43" t="s">
        <v>206</v>
      </c>
      <c r="B581" s="43" t="s">
        <v>925</v>
      </c>
      <c r="C581" s="43">
        <v>44</v>
      </c>
      <c r="D581" s="43" t="s">
        <v>581</v>
      </c>
      <c r="E581" s="43" t="s">
        <v>742</v>
      </c>
      <c r="F581" s="43">
        <v>3.7900000000000003E-2</v>
      </c>
      <c r="G581" s="43">
        <v>9.4E-2</v>
      </c>
      <c r="H581" s="43"/>
      <c r="I581" s="43" t="s">
        <v>164</v>
      </c>
      <c r="J581" s="22">
        <v>3.8036899999999998E-4</v>
      </c>
      <c r="K581" s="22"/>
    </row>
    <row r="582" spans="1:11" x14ac:dyDescent="0.15">
      <c r="A582" s="43" t="s">
        <v>206</v>
      </c>
      <c r="B582" s="43" t="s">
        <v>925</v>
      </c>
      <c r="C582" s="43">
        <v>44</v>
      </c>
      <c r="D582" s="43" t="s">
        <v>482</v>
      </c>
      <c r="E582" s="43" t="s">
        <v>742</v>
      </c>
      <c r="F582" s="43">
        <v>0.1089</v>
      </c>
      <c r="G582" s="43">
        <v>0.10979999999999999</v>
      </c>
      <c r="H582" s="43"/>
      <c r="I582" s="43" t="s">
        <v>164</v>
      </c>
      <c r="J582" s="22">
        <v>8.2614199999999998E-4</v>
      </c>
      <c r="K582" s="22"/>
    </row>
    <row r="583" spans="1:11" x14ac:dyDescent="0.15">
      <c r="A583" s="43" t="s">
        <v>206</v>
      </c>
      <c r="B583" s="43" t="s">
        <v>925</v>
      </c>
      <c r="C583" s="43">
        <v>44</v>
      </c>
      <c r="D583" s="43" t="s">
        <v>484</v>
      </c>
      <c r="E583" s="43" t="s">
        <v>742</v>
      </c>
      <c r="F583" s="43">
        <v>0.16309999999999999</v>
      </c>
      <c r="G583" s="43">
        <v>3.1600000000000003E-2</v>
      </c>
      <c r="H583" s="43"/>
      <c r="I583" s="43" t="s">
        <v>164</v>
      </c>
      <c r="J583" s="22">
        <v>4.3255890000000003E-3</v>
      </c>
      <c r="K583" s="22"/>
    </row>
    <row r="584" spans="1:11" x14ac:dyDescent="0.15">
      <c r="A584" s="43" t="s">
        <v>206</v>
      </c>
      <c r="B584" s="43" t="s">
        <v>925</v>
      </c>
      <c r="C584" s="43">
        <v>44</v>
      </c>
      <c r="D584" s="43" t="s">
        <v>582</v>
      </c>
      <c r="E584" s="43" t="s">
        <v>742</v>
      </c>
      <c r="F584" s="43">
        <v>6.3600000000000002E-3</v>
      </c>
      <c r="G584" s="43">
        <v>2.3E-2</v>
      </c>
      <c r="H584" s="43"/>
      <c r="I584" s="43" t="s">
        <v>164</v>
      </c>
      <c r="J584" s="22">
        <v>2.22823E-4</v>
      </c>
      <c r="K584" s="22"/>
    </row>
    <row r="585" spans="1:11" x14ac:dyDescent="0.15">
      <c r="A585" s="43" t="s">
        <v>206</v>
      </c>
      <c r="B585" s="43" t="s">
        <v>925</v>
      </c>
      <c r="C585" s="43">
        <v>44</v>
      </c>
      <c r="D585" s="43" t="s">
        <v>583</v>
      </c>
      <c r="E585" s="43" t="s">
        <v>742</v>
      </c>
      <c r="F585" s="43">
        <v>0.1</v>
      </c>
      <c r="G585" s="43">
        <v>6.5199999999999994E-2</v>
      </c>
      <c r="H585" s="43"/>
      <c r="I585" s="43" t="s">
        <v>164</v>
      </c>
      <c r="J585" s="22">
        <v>1.446927E-3</v>
      </c>
      <c r="K585" s="22"/>
    </row>
    <row r="586" spans="1:11" x14ac:dyDescent="0.15">
      <c r="A586" s="43" t="s">
        <v>206</v>
      </c>
      <c r="B586" s="43" t="s">
        <v>925</v>
      </c>
      <c r="C586" s="43">
        <v>44</v>
      </c>
      <c r="D586" s="43" t="s">
        <v>584</v>
      </c>
      <c r="E586" s="43" t="s">
        <v>742</v>
      </c>
      <c r="F586" s="43">
        <v>0.29459999999999997</v>
      </c>
      <c r="G586" s="43">
        <v>7.0800000000000002E-2</v>
      </c>
      <c r="H586" s="43"/>
      <c r="I586" s="43" t="s">
        <v>164</v>
      </c>
      <c r="J586" s="22">
        <v>3.4552200000000002E-3</v>
      </c>
      <c r="K586" s="22"/>
    </row>
    <row r="587" spans="1:11" x14ac:dyDescent="0.15">
      <c r="A587" s="43" t="s">
        <v>206</v>
      </c>
      <c r="B587" s="43" t="s">
        <v>925</v>
      </c>
      <c r="C587" s="43">
        <v>44</v>
      </c>
      <c r="D587" s="43" t="s">
        <v>585</v>
      </c>
      <c r="E587" s="43" t="s">
        <v>742</v>
      </c>
      <c r="F587" s="43">
        <v>0.1169</v>
      </c>
      <c r="G587" s="43">
        <v>0.17599999999999999</v>
      </c>
      <c r="H587" s="43"/>
      <c r="I587" s="43" t="s">
        <v>164</v>
      </c>
      <c r="J587" s="22">
        <v>6.2660799999999996E-4</v>
      </c>
      <c r="K587" s="22"/>
    </row>
    <row r="588" spans="1:11" x14ac:dyDescent="0.15">
      <c r="A588" s="43" t="s">
        <v>206</v>
      </c>
      <c r="B588" s="43" t="s">
        <v>925</v>
      </c>
      <c r="C588" s="43">
        <v>44</v>
      </c>
      <c r="D588" s="43" t="s">
        <v>586</v>
      </c>
      <c r="E588" s="43" t="s">
        <v>742</v>
      </c>
      <c r="F588" s="43">
        <v>6.6000000000000003E-2</v>
      </c>
      <c r="G588" s="43">
        <v>6.8285713999999997E-2</v>
      </c>
      <c r="H588" s="43"/>
      <c r="I588" s="43" t="s">
        <v>164</v>
      </c>
      <c r="J588" s="22">
        <v>8.7290100000000004E-4</v>
      </c>
      <c r="K588" s="22"/>
    </row>
    <row r="589" spans="1:11" x14ac:dyDescent="0.15">
      <c r="A589" s="43" t="s">
        <v>206</v>
      </c>
      <c r="B589" s="43" t="s">
        <v>925</v>
      </c>
      <c r="C589" s="43">
        <v>44</v>
      </c>
      <c r="D589" s="43" t="s">
        <v>587</v>
      </c>
      <c r="E589" s="43" t="s">
        <v>742</v>
      </c>
      <c r="F589" s="43">
        <v>3.7305999999999999E-2</v>
      </c>
      <c r="G589" s="43">
        <v>0.1545</v>
      </c>
      <c r="H589" s="43"/>
      <c r="I589" s="43" t="s">
        <v>164</v>
      </c>
      <c r="J589" s="22">
        <v>2.2779500000000001E-4</v>
      </c>
      <c r="K589" s="22"/>
    </row>
    <row r="590" spans="1:11" x14ac:dyDescent="0.15">
      <c r="A590" s="43" t="s">
        <v>206</v>
      </c>
      <c r="B590" s="43" t="s">
        <v>925</v>
      </c>
      <c r="C590" s="43">
        <v>44</v>
      </c>
      <c r="D590" s="43" t="s">
        <v>491</v>
      </c>
      <c r="E590" s="43" t="s">
        <v>742</v>
      </c>
      <c r="F590" s="43">
        <v>0.11613999999999999</v>
      </c>
      <c r="G590" s="43">
        <v>4.7600000000000003E-2</v>
      </c>
      <c r="H590" s="43"/>
      <c r="I590" s="43" t="s">
        <v>164</v>
      </c>
      <c r="J590" s="22">
        <v>1.9591069999999999E-3</v>
      </c>
      <c r="K590" s="22"/>
    </row>
    <row r="591" spans="1:11" x14ac:dyDescent="0.15">
      <c r="A591" s="43" t="s">
        <v>206</v>
      </c>
      <c r="B591" s="43" t="s">
        <v>925</v>
      </c>
      <c r="C591" s="43">
        <v>44</v>
      </c>
      <c r="D591" s="43" t="s">
        <v>588</v>
      </c>
      <c r="E591" s="43" t="s">
        <v>742</v>
      </c>
      <c r="F591" s="43">
        <v>4.7000000000000002E-3</v>
      </c>
      <c r="G591" s="43">
        <v>6.6500000000000004E-2</v>
      </c>
      <c r="H591" s="43"/>
      <c r="I591" s="43" t="s">
        <v>164</v>
      </c>
      <c r="J591" s="22">
        <v>6.3762699999999999E-5</v>
      </c>
      <c r="K591" s="22"/>
    </row>
    <row r="592" spans="1:11" x14ac:dyDescent="0.15">
      <c r="A592" s="43" t="s">
        <v>206</v>
      </c>
      <c r="B592" s="43" t="s">
        <v>925</v>
      </c>
      <c r="C592" s="43">
        <v>44</v>
      </c>
      <c r="D592" s="43" t="s">
        <v>589</v>
      </c>
      <c r="E592" s="43" t="s">
        <v>743</v>
      </c>
      <c r="F592" s="43">
        <v>1.5699999999999999E-2</v>
      </c>
      <c r="G592" s="43">
        <v>2.5600000000000001E-2</v>
      </c>
      <c r="H592" s="43"/>
      <c r="I592" s="43" t="s">
        <v>164</v>
      </c>
      <c r="J592" s="22">
        <v>5.1396999999999999E-4</v>
      </c>
      <c r="K592" s="22"/>
    </row>
    <row r="593" spans="1:11" x14ac:dyDescent="0.15">
      <c r="A593" s="43" t="s">
        <v>206</v>
      </c>
      <c r="B593" s="43" t="s">
        <v>925</v>
      </c>
      <c r="C593" s="43">
        <v>44</v>
      </c>
      <c r="D593" s="43" t="s">
        <v>590</v>
      </c>
      <c r="E593" s="43" t="s">
        <v>743</v>
      </c>
      <c r="F593" s="43">
        <v>6.0999999999999999E-2</v>
      </c>
      <c r="G593" s="43">
        <v>6.8333332999999996E-2</v>
      </c>
      <c r="H593" s="43"/>
      <c r="I593" s="43" t="s">
        <v>164</v>
      </c>
      <c r="J593" s="22">
        <v>7.6571699999999996E-4</v>
      </c>
      <c r="K593" s="22"/>
    </row>
    <row r="594" spans="1:11" x14ac:dyDescent="0.15">
      <c r="A594" s="43" t="s">
        <v>206</v>
      </c>
      <c r="B594" s="43" t="s">
        <v>925</v>
      </c>
      <c r="C594" s="43">
        <v>44</v>
      </c>
      <c r="D594" s="43" t="s">
        <v>591</v>
      </c>
      <c r="E594" s="43" t="s">
        <v>743</v>
      </c>
      <c r="F594" s="43">
        <v>2.4847999999999999E-2</v>
      </c>
      <c r="G594" s="43">
        <v>6.5750000000000003E-2</v>
      </c>
      <c r="H594" s="43"/>
      <c r="I594" s="43" t="s">
        <v>164</v>
      </c>
      <c r="J594" s="22">
        <v>3.4139800000000003E-4</v>
      </c>
      <c r="K594" s="22"/>
    </row>
    <row r="595" spans="1:11" x14ac:dyDescent="0.15">
      <c r="A595" s="43" t="s">
        <v>206</v>
      </c>
      <c r="B595" s="43" t="s">
        <v>925</v>
      </c>
      <c r="C595" s="43">
        <v>44</v>
      </c>
      <c r="D595" s="43" t="s">
        <v>592</v>
      </c>
      <c r="E595" s="43" t="s">
        <v>743</v>
      </c>
      <c r="F595" s="43">
        <v>1.46E-2</v>
      </c>
      <c r="G595" s="43">
        <v>1.7333332999999999E-2</v>
      </c>
      <c r="H595" s="43"/>
      <c r="I595" s="43" t="s">
        <v>164</v>
      </c>
      <c r="J595" s="22">
        <v>6.6390399999999999E-4</v>
      </c>
      <c r="K595" s="22"/>
    </row>
    <row r="596" spans="1:11" x14ac:dyDescent="0.15">
      <c r="A596" s="43" t="s">
        <v>206</v>
      </c>
      <c r="B596" s="43" t="s">
        <v>925</v>
      </c>
      <c r="C596" s="43">
        <v>44</v>
      </c>
      <c r="D596" s="43" t="s">
        <v>593</v>
      </c>
      <c r="E596" s="43" t="s">
        <v>743</v>
      </c>
      <c r="F596" s="43">
        <v>2.6366000000000001E-2</v>
      </c>
      <c r="G596" s="43">
        <v>2.5250000000000002E-2</v>
      </c>
      <c r="H596" s="43"/>
      <c r="I596" s="43" t="s">
        <v>164</v>
      </c>
      <c r="J596" s="22">
        <v>7.4627199999999997E-4</v>
      </c>
      <c r="K596" s="22"/>
    </row>
    <row r="597" spans="1:11" x14ac:dyDescent="0.15">
      <c r="A597" s="43" t="s">
        <v>206</v>
      </c>
      <c r="B597" s="43" t="s">
        <v>925</v>
      </c>
      <c r="C597" s="43">
        <v>44</v>
      </c>
      <c r="D597" s="43" t="s">
        <v>594</v>
      </c>
      <c r="E597" s="43" t="s">
        <v>743</v>
      </c>
      <c r="F597" s="43">
        <v>6.0600000000000001E-2</v>
      </c>
      <c r="G597" s="43">
        <v>2.9399999999999999E-2</v>
      </c>
      <c r="H597" s="43"/>
      <c r="I597" s="43" t="s">
        <v>164</v>
      </c>
      <c r="J597" s="22">
        <v>1.414415E-3</v>
      </c>
      <c r="K597" s="22"/>
    </row>
    <row r="598" spans="1:11" x14ac:dyDescent="0.15">
      <c r="A598" s="43" t="s">
        <v>206</v>
      </c>
      <c r="B598" s="43" t="s">
        <v>925</v>
      </c>
      <c r="C598" s="43">
        <v>44</v>
      </c>
      <c r="D598" s="43" t="s">
        <v>595</v>
      </c>
      <c r="E598" s="43" t="s">
        <v>743</v>
      </c>
      <c r="F598" s="43">
        <v>3.2919999999999998E-2</v>
      </c>
      <c r="G598" s="43">
        <v>3.7999999999999999E-2</v>
      </c>
      <c r="H598" s="43"/>
      <c r="I598" s="43" t="s">
        <v>164</v>
      </c>
      <c r="J598" s="22">
        <v>6.4694100000000005E-4</v>
      </c>
      <c r="K598" s="22"/>
    </row>
    <row r="599" spans="1:11" x14ac:dyDescent="0.15">
      <c r="A599" s="43" t="s">
        <v>206</v>
      </c>
      <c r="B599" s="43" t="s">
        <v>925</v>
      </c>
      <c r="C599" s="43">
        <v>44</v>
      </c>
      <c r="D599" s="43" t="s">
        <v>596</v>
      </c>
      <c r="E599" s="43" t="s">
        <v>743</v>
      </c>
      <c r="F599" s="43">
        <v>2.8299999999999999E-2</v>
      </c>
      <c r="G599" s="43">
        <v>0.22</v>
      </c>
      <c r="H599" s="43"/>
      <c r="I599" s="43" t="s">
        <v>164</v>
      </c>
      <c r="J599" s="22">
        <v>1.2135500000000001E-4</v>
      </c>
      <c r="K599" s="22"/>
    </row>
    <row r="600" spans="1:11" x14ac:dyDescent="0.15">
      <c r="A600" s="43" t="s">
        <v>206</v>
      </c>
      <c r="B600" s="43" t="s">
        <v>925</v>
      </c>
      <c r="C600" s="43">
        <v>44</v>
      </c>
      <c r="D600" s="43" t="s">
        <v>597</v>
      </c>
      <c r="E600" s="43" t="s">
        <v>743</v>
      </c>
      <c r="F600" s="43">
        <v>1.0999999999999999E-2</v>
      </c>
      <c r="G600" s="43">
        <v>1.6799999999999999E-2</v>
      </c>
      <c r="H600" s="43"/>
      <c r="I600" s="43" t="s">
        <v>164</v>
      </c>
      <c r="J600" s="22">
        <v>5.3313799999999995E-4</v>
      </c>
      <c r="K600" s="22"/>
    </row>
    <row r="601" spans="1:11" x14ac:dyDescent="0.15">
      <c r="A601" s="43" t="s">
        <v>206</v>
      </c>
      <c r="B601" s="43" t="s">
        <v>925</v>
      </c>
      <c r="C601" s="43">
        <v>44</v>
      </c>
      <c r="D601" s="43" t="s">
        <v>598</v>
      </c>
      <c r="E601" s="43" t="s">
        <v>743</v>
      </c>
      <c r="F601" s="43">
        <v>3.3000000000000002E-2</v>
      </c>
      <c r="G601" s="43">
        <v>3.1800000000000002E-2</v>
      </c>
      <c r="H601" s="43"/>
      <c r="I601" s="43" t="s">
        <v>164</v>
      </c>
      <c r="J601" s="22">
        <v>8.8140899999999999E-4</v>
      </c>
      <c r="K601" s="22"/>
    </row>
    <row r="602" spans="1:11" x14ac:dyDescent="0.15">
      <c r="A602" s="43" t="s">
        <v>206</v>
      </c>
      <c r="B602" s="43" t="s">
        <v>925</v>
      </c>
      <c r="C602" s="43">
        <v>44</v>
      </c>
      <c r="D602" s="43" t="s">
        <v>599</v>
      </c>
      <c r="E602" s="43" t="s">
        <v>743</v>
      </c>
      <c r="F602" s="43">
        <v>8.3999999999999995E-3</v>
      </c>
      <c r="G602" s="43">
        <v>3.1666667000000003E-2</v>
      </c>
      <c r="H602" s="43"/>
      <c r="I602" s="43" t="s">
        <v>164</v>
      </c>
      <c r="J602" s="22">
        <v>2.5024800000000001E-4</v>
      </c>
      <c r="K602" s="22"/>
    </row>
    <row r="603" spans="1:11" x14ac:dyDescent="0.15">
      <c r="A603" s="43" t="s">
        <v>206</v>
      </c>
      <c r="B603" s="43" t="s">
        <v>925</v>
      </c>
      <c r="C603" s="43">
        <v>44</v>
      </c>
      <c r="D603" s="43" t="s">
        <v>600</v>
      </c>
      <c r="E603" s="43" t="s">
        <v>743</v>
      </c>
      <c r="F603" s="43">
        <v>2.1399999999999999E-2</v>
      </c>
      <c r="G603" s="43">
        <v>4.02E-2</v>
      </c>
      <c r="H603" s="43"/>
      <c r="I603" s="43" t="s">
        <v>164</v>
      </c>
      <c r="J603" s="22">
        <v>4.6672400000000001E-4</v>
      </c>
      <c r="K603" s="22"/>
    </row>
    <row r="604" spans="1:11" x14ac:dyDescent="0.15">
      <c r="A604" s="43" t="s">
        <v>206</v>
      </c>
      <c r="B604" s="43" t="s">
        <v>925</v>
      </c>
      <c r="C604" s="43">
        <v>44</v>
      </c>
      <c r="D604" s="43" t="s">
        <v>601</v>
      </c>
      <c r="E604" s="43" t="s">
        <v>743</v>
      </c>
      <c r="F604" s="43">
        <v>9.8000000000000004E-2</v>
      </c>
      <c r="G604" s="43">
        <v>2.5999999999999999E-2</v>
      </c>
      <c r="H604" s="43"/>
      <c r="I604" s="43" t="s">
        <v>164</v>
      </c>
      <c r="J604" s="22">
        <v>3.1868790000000001E-3</v>
      </c>
      <c r="K604" s="22"/>
    </row>
    <row r="605" spans="1:11" x14ac:dyDescent="0.15">
      <c r="A605" s="43" t="s">
        <v>206</v>
      </c>
      <c r="B605" s="43" t="s">
        <v>925</v>
      </c>
      <c r="C605" s="43">
        <v>44</v>
      </c>
      <c r="D605" s="43" t="s">
        <v>602</v>
      </c>
      <c r="E605" s="43" t="s">
        <v>743</v>
      </c>
      <c r="F605" s="43">
        <v>6.0000000000000001E-3</v>
      </c>
      <c r="G605" s="43">
        <v>2.8000000000000001E-2</v>
      </c>
      <c r="H605" s="43"/>
      <c r="I605" s="43" t="s">
        <v>164</v>
      </c>
      <c r="J605" s="22">
        <v>1.9152199999999999E-4</v>
      </c>
      <c r="K605" s="22"/>
    </row>
    <row r="606" spans="1:11" x14ac:dyDescent="0.15">
      <c r="A606" s="28" t="s">
        <v>207</v>
      </c>
      <c r="B606" s="28" t="s">
        <v>925</v>
      </c>
      <c r="C606" s="28">
        <v>86</v>
      </c>
      <c r="D606" s="28" t="s">
        <v>480</v>
      </c>
      <c r="E606" s="28" t="s">
        <v>742</v>
      </c>
      <c r="F606" s="28">
        <v>0.67459999999999998</v>
      </c>
      <c r="G606" s="28">
        <v>0.42666667000000003</v>
      </c>
      <c r="H606" s="28"/>
      <c r="I606" s="28" t="s">
        <v>164</v>
      </c>
      <c r="J606" s="22">
        <v>1.4916E-3</v>
      </c>
      <c r="K606" s="22" t="s">
        <v>366</v>
      </c>
    </row>
    <row r="607" spans="1:11" x14ac:dyDescent="0.15">
      <c r="A607" s="28" t="s">
        <v>207</v>
      </c>
      <c r="B607" s="28" t="s">
        <v>925</v>
      </c>
      <c r="C607" s="28">
        <v>86</v>
      </c>
      <c r="D607" s="28" t="s">
        <v>575</v>
      </c>
      <c r="E607" s="28" t="s">
        <v>742</v>
      </c>
      <c r="F607" s="28">
        <v>0.17799999999999999</v>
      </c>
      <c r="G607" s="28">
        <v>0.253</v>
      </c>
      <c r="H607" s="28"/>
      <c r="I607" s="28" t="s">
        <v>164</v>
      </c>
      <c r="J607" s="22">
        <v>6.6372999999999996E-4</v>
      </c>
      <c r="K607" s="22"/>
    </row>
    <row r="608" spans="1:11" x14ac:dyDescent="0.15">
      <c r="A608" s="28" t="s">
        <v>207</v>
      </c>
      <c r="B608" s="28" t="s">
        <v>925</v>
      </c>
      <c r="C608" s="28">
        <v>86</v>
      </c>
      <c r="D608" s="28" t="s">
        <v>576</v>
      </c>
      <c r="E608" s="28" t="s">
        <v>742</v>
      </c>
      <c r="F608" s="28">
        <v>0.105</v>
      </c>
      <c r="G608" s="28">
        <v>0.28000000000000003</v>
      </c>
      <c r="H608" s="28"/>
      <c r="I608" s="28" t="s">
        <v>164</v>
      </c>
      <c r="J608" s="22">
        <v>3.5377E-4</v>
      </c>
      <c r="K608" s="22"/>
    </row>
    <row r="609" spans="1:11" x14ac:dyDescent="0.15">
      <c r="A609" s="28" t="s">
        <v>207</v>
      </c>
      <c r="B609" s="28" t="s">
        <v>925</v>
      </c>
      <c r="C609" s="28">
        <v>86</v>
      </c>
      <c r="D609" s="28" t="s">
        <v>577</v>
      </c>
      <c r="E609" s="28" t="s">
        <v>742</v>
      </c>
      <c r="F609" s="28">
        <v>1.1950000000000001</v>
      </c>
      <c r="G609" s="28">
        <v>0.30516666999999997</v>
      </c>
      <c r="H609" s="28"/>
      <c r="I609" s="28" t="s">
        <v>164</v>
      </c>
      <c r="J609" s="22">
        <v>3.6942400000000001E-3</v>
      </c>
      <c r="K609" s="22"/>
    </row>
    <row r="610" spans="1:11" x14ac:dyDescent="0.15">
      <c r="A610" s="28" t="s">
        <v>207</v>
      </c>
      <c r="B610" s="28" t="s">
        <v>925</v>
      </c>
      <c r="C610" s="28">
        <v>86</v>
      </c>
      <c r="D610" s="28" t="s">
        <v>578</v>
      </c>
      <c r="E610" s="28" t="s">
        <v>742</v>
      </c>
      <c r="F610" s="28">
        <v>0.46879999999999999</v>
      </c>
      <c r="G610" s="28">
        <v>9.6000000000000002E-2</v>
      </c>
      <c r="H610" s="28"/>
      <c r="I610" s="28" t="s">
        <v>164</v>
      </c>
      <c r="J610" s="22">
        <v>4.4357700000000003E-3</v>
      </c>
      <c r="K610" s="22"/>
    </row>
    <row r="611" spans="1:11" x14ac:dyDescent="0.15">
      <c r="A611" s="28" t="s">
        <v>207</v>
      </c>
      <c r="B611" s="28" t="s">
        <v>925</v>
      </c>
      <c r="C611" s="28">
        <v>86</v>
      </c>
      <c r="D611" s="28" t="s">
        <v>579</v>
      </c>
      <c r="E611" s="28" t="s">
        <v>742</v>
      </c>
      <c r="F611" s="28">
        <v>0.3301</v>
      </c>
      <c r="G611" s="28">
        <v>4.48E-2</v>
      </c>
      <c r="H611" s="28"/>
      <c r="I611" s="28" t="s">
        <v>164</v>
      </c>
      <c r="J611" s="22">
        <v>5.4274800000000002E-3</v>
      </c>
      <c r="K611" s="22"/>
    </row>
    <row r="612" spans="1:11" x14ac:dyDescent="0.15">
      <c r="A612" s="28" t="s">
        <v>207</v>
      </c>
      <c r="B612" s="28" t="s">
        <v>925</v>
      </c>
      <c r="C612" s="28">
        <v>86</v>
      </c>
      <c r="D612" s="28" t="s">
        <v>580</v>
      </c>
      <c r="E612" s="28" t="s">
        <v>742</v>
      </c>
      <c r="F612" s="28">
        <v>8.2100000000000006E-2</v>
      </c>
      <c r="G612" s="28">
        <v>4.5666669999999999E-2</v>
      </c>
      <c r="H612" s="28"/>
      <c r="I612" s="28" t="s">
        <v>164</v>
      </c>
      <c r="J612" s="22">
        <v>1.22003E-3</v>
      </c>
      <c r="K612" s="22"/>
    </row>
    <row r="613" spans="1:11" x14ac:dyDescent="0.15">
      <c r="A613" s="28" t="s">
        <v>207</v>
      </c>
      <c r="B613" s="28" t="s">
        <v>925</v>
      </c>
      <c r="C613" s="28">
        <v>86</v>
      </c>
      <c r="D613" s="28" t="s">
        <v>581</v>
      </c>
      <c r="E613" s="28" t="s">
        <v>742</v>
      </c>
      <c r="F613" s="28">
        <v>6.7199999999999996E-2</v>
      </c>
      <c r="G613" s="28">
        <v>0.114</v>
      </c>
      <c r="H613" s="28"/>
      <c r="I613" s="28" t="s">
        <v>164</v>
      </c>
      <c r="J613" s="22">
        <v>4.9695999999999996E-4</v>
      </c>
      <c r="K613" s="22"/>
    </row>
    <row r="614" spans="1:11" x14ac:dyDescent="0.15">
      <c r="A614" s="28" t="s">
        <v>207</v>
      </c>
      <c r="B614" s="28" t="s">
        <v>925</v>
      </c>
      <c r="C614" s="28">
        <v>86</v>
      </c>
      <c r="D614" s="28" t="s">
        <v>482</v>
      </c>
      <c r="E614" s="28" t="s">
        <v>742</v>
      </c>
      <c r="F614" s="28">
        <v>0.2064</v>
      </c>
      <c r="G614" s="28">
        <v>0.23019999999999999</v>
      </c>
      <c r="H614" s="28"/>
      <c r="I614" s="28" t="s">
        <v>164</v>
      </c>
      <c r="J614" s="22">
        <v>8.4586000000000004E-4</v>
      </c>
      <c r="K614" s="22"/>
    </row>
    <row r="615" spans="1:11" x14ac:dyDescent="0.15">
      <c r="A615" s="28" t="s">
        <v>207</v>
      </c>
      <c r="B615" s="28" t="s">
        <v>925</v>
      </c>
      <c r="C615" s="28">
        <v>86</v>
      </c>
      <c r="D615" s="28" t="s">
        <v>484</v>
      </c>
      <c r="E615" s="28" t="s">
        <v>742</v>
      </c>
      <c r="F615" s="28">
        <v>0.33389999999999997</v>
      </c>
      <c r="G615" s="28">
        <v>3.925E-2</v>
      </c>
      <c r="H615" s="28"/>
      <c r="I615" s="28" t="s">
        <v>164</v>
      </c>
      <c r="J615" s="22">
        <v>6.36704E-3</v>
      </c>
      <c r="K615" s="22"/>
    </row>
    <row r="616" spans="1:11" x14ac:dyDescent="0.15">
      <c r="A616" s="28" t="s">
        <v>207</v>
      </c>
      <c r="B616" s="28" t="s">
        <v>925</v>
      </c>
      <c r="C616" s="28">
        <v>86</v>
      </c>
      <c r="D616" s="28" t="s">
        <v>582</v>
      </c>
      <c r="E616" s="28" t="s">
        <v>742</v>
      </c>
      <c r="F616" s="28">
        <v>1.5800000000000002E-2</v>
      </c>
      <c r="G616" s="28">
        <v>0.03</v>
      </c>
      <c r="H616" s="28"/>
      <c r="I616" s="28" t="s">
        <v>164</v>
      </c>
      <c r="J616" s="22">
        <v>3.9550000000000002E-4</v>
      </c>
      <c r="K616" s="22"/>
    </row>
    <row r="617" spans="1:11" x14ac:dyDescent="0.15">
      <c r="A617" s="28" t="s">
        <v>207</v>
      </c>
      <c r="B617" s="28" t="s">
        <v>925</v>
      </c>
      <c r="C617" s="28">
        <v>86</v>
      </c>
      <c r="D617" s="28" t="s">
        <v>583</v>
      </c>
      <c r="E617" s="28" t="s">
        <v>742</v>
      </c>
      <c r="F617" s="28">
        <v>1.6999999999999999E-3</v>
      </c>
      <c r="G617" s="28">
        <v>5.2666669999999999E-2</v>
      </c>
      <c r="H617" s="28"/>
      <c r="I617" s="28" t="s">
        <v>164</v>
      </c>
      <c r="J617" s="22">
        <v>2.7500000000000001E-5</v>
      </c>
      <c r="K617" s="22"/>
    </row>
    <row r="618" spans="1:11" x14ac:dyDescent="0.15">
      <c r="A618" s="28" t="s">
        <v>207</v>
      </c>
      <c r="B618" s="28" t="s">
        <v>925</v>
      </c>
      <c r="C618" s="28">
        <v>86</v>
      </c>
      <c r="D618" s="28" t="s">
        <v>584</v>
      </c>
      <c r="E618" s="28" t="s">
        <v>742</v>
      </c>
      <c r="F618" s="28">
        <v>0.63500000000000001</v>
      </c>
      <c r="G618" s="28">
        <v>0.1036</v>
      </c>
      <c r="H618" s="28"/>
      <c r="I618" s="28" t="s">
        <v>164</v>
      </c>
      <c r="J618" s="22">
        <v>4.9434400000000003E-3</v>
      </c>
      <c r="K618" s="22"/>
    </row>
    <row r="619" spans="1:11" x14ac:dyDescent="0.15">
      <c r="A619" s="28" t="s">
        <v>207</v>
      </c>
      <c r="B619" s="28" t="s">
        <v>925</v>
      </c>
      <c r="C619" s="28">
        <v>86</v>
      </c>
      <c r="D619" s="28" t="s">
        <v>585</v>
      </c>
      <c r="E619" s="28" t="s">
        <v>742</v>
      </c>
      <c r="F619" s="28">
        <v>0.26400000000000001</v>
      </c>
      <c r="G619" s="28">
        <v>0.16650000000000001</v>
      </c>
      <c r="H619" s="28"/>
      <c r="I619" s="28" t="s">
        <v>164</v>
      </c>
      <c r="J619" s="22">
        <v>1.4056299999999999E-3</v>
      </c>
      <c r="K619" s="22"/>
    </row>
    <row r="620" spans="1:11" x14ac:dyDescent="0.15">
      <c r="A620" s="28" t="s">
        <v>207</v>
      </c>
      <c r="B620" s="28" t="s">
        <v>925</v>
      </c>
      <c r="C620" s="28">
        <v>86</v>
      </c>
      <c r="D620" s="28" t="s">
        <v>586</v>
      </c>
      <c r="E620" s="28" t="s">
        <v>742</v>
      </c>
      <c r="F620" s="28">
        <v>8.6099999999999996E-2</v>
      </c>
      <c r="G620" s="28">
        <v>0.17399999999999999</v>
      </c>
      <c r="H620" s="28"/>
      <c r="I620" s="28" t="s">
        <v>164</v>
      </c>
      <c r="J620" s="22">
        <v>4.6682000000000001E-4</v>
      </c>
      <c r="K620" s="22"/>
    </row>
    <row r="621" spans="1:11" x14ac:dyDescent="0.15">
      <c r="A621" s="28" t="s">
        <v>207</v>
      </c>
      <c r="B621" s="28" t="s">
        <v>925</v>
      </c>
      <c r="C621" s="28">
        <v>86</v>
      </c>
      <c r="D621" s="28" t="s">
        <v>587</v>
      </c>
      <c r="E621" s="28" t="s">
        <v>742</v>
      </c>
      <c r="F621" s="28">
        <v>5.2200000000000003E-2</v>
      </c>
      <c r="G621" s="28">
        <v>7.4999999999999997E-2</v>
      </c>
      <c r="H621" s="28"/>
      <c r="I621" s="28" t="s">
        <v>164</v>
      </c>
      <c r="J621" s="22">
        <v>6.5660000000000002E-4</v>
      </c>
      <c r="K621" s="22"/>
    </row>
    <row r="622" spans="1:11" x14ac:dyDescent="0.15">
      <c r="A622" s="28" t="s">
        <v>207</v>
      </c>
      <c r="B622" s="28" t="s">
        <v>925</v>
      </c>
      <c r="C622" s="28">
        <v>86</v>
      </c>
      <c r="D622" s="28" t="s">
        <v>491</v>
      </c>
      <c r="E622" s="28" t="s">
        <v>742</v>
      </c>
      <c r="F622" s="28">
        <v>0.2505</v>
      </c>
      <c r="G622" s="28">
        <v>6.1800000000000001E-2</v>
      </c>
      <c r="H622" s="28"/>
      <c r="I622" s="28" t="s">
        <v>164</v>
      </c>
      <c r="J622" s="22">
        <v>2.94357E-3</v>
      </c>
      <c r="K622" s="22"/>
    </row>
    <row r="623" spans="1:11" x14ac:dyDescent="0.15">
      <c r="A623" s="28" t="s">
        <v>207</v>
      </c>
      <c r="B623" s="28" t="s">
        <v>925</v>
      </c>
      <c r="C623" s="28">
        <v>86</v>
      </c>
      <c r="D623" s="28" t="s">
        <v>588</v>
      </c>
      <c r="E623" s="28" t="s">
        <v>742</v>
      </c>
      <c r="F623" s="28">
        <v>9.1600000000000001E-2</v>
      </c>
      <c r="G623" s="28">
        <v>0.1197</v>
      </c>
      <c r="H623" s="28"/>
      <c r="I623" s="28" t="s">
        <v>164</v>
      </c>
      <c r="J623" s="22">
        <v>6.9601000000000005E-4</v>
      </c>
      <c r="K623" s="22"/>
    </row>
    <row r="624" spans="1:11" x14ac:dyDescent="0.15">
      <c r="A624" s="28" t="s">
        <v>207</v>
      </c>
      <c r="B624" s="28" t="s">
        <v>925</v>
      </c>
      <c r="C624" s="28">
        <v>86</v>
      </c>
      <c r="D624" s="28" t="s">
        <v>589</v>
      </c>
      <c r="E624" s="28" t="s">
        <v>743</v>
      </c>
      <c r="F624" s="28">
        <v>3.7499999999999999E-2</v>
      </c>
      <c r="G624" s="28">
        <v>8.1799999999999998E-2</v>
      </c>
      <c r="H624" s="28"/>
      <c r="I624" s="28" t="s">
        <v>164</v>
      </c>
      <c r="J624" s="22">
        <v>4.3249E-4</v>
      </c>
      <c r="K624" s="22"/>
    </row>
    <row r="625" spans="1:11" x14ac:dyDescent="0.15">
      <c r="A625" s="28" t="s">
        <v>207</v>
      </c>
      <c r="B625" s="28" t="s">
        <v>925</v>
      </c>
      <c r="C625" s="28">
        <v>86</v>
      </c>
      <c r="D625" s="28" t="s">
        <v>590</v>
      </c>
      <c r="E625" s="28" t="s">
        <v>743</v>
      </c>
      <c r="F625" s="28">
        <v>6.1400000000000003E-2</v>
      </c>
      <c r="G625" s="28">
        <v>7.1199999999999999E-2</v>
      </c>
      <c r="H625" s="28"/>
      <c r="I625" s="28" t="s">
        <v>164</v>
      </c>
      <c r="J625" s="22">
        <v>7.5431000000000001E-4</v>
      </c>
      <c r="K625" s="22"/>
    </row>
    <row r="626" spans="1:11" x14ac:dyDescent="0.15">
      <c r="A626" s="28" t="s">
        <v>207</v>
      </c>
      <c r="B626" s="28" t="s">
        <v>925</v>
      </c>
      <c r="C626" s="28">
        <v>86</v>
      </c>
      <c r="D626" s="28" t="s">
        <v>591</v>
      </c>
      <c r="E626" s="28" t="s">
        <v>743</v>
      </c>
      <c r="F626" s="28">
        <v>4.6300000000000001E-2</v>
      </c>
      <c r="G626" s="28">
        <v>4.8666670000000002E-2</v>
      </c>
      <c r="H626" s="28"/>
      <c r="I626" s="28" t="s">
        <v>164</v>
      </c>
      <c r="J626" s="22">
        <v>8.5030999999999995E-4</v>
      </c>
      <c r="K626" s="22"/>
    </row>
    <row r="627" spans="1:11" x14ac:dyDescent="0.15">
      <c r="A627" s="28" t="s">
        <v>207</v>
      </c>
      <c r="B627" s="28" t="s">
        <v>925</v>
      </c>
      <c r="C627" s="28">
        <v>86</v>
      </c>
      <c r="D627" s="28" t="s">
        <v>592</v>
      </c>
      <c r="E627" s="28" t="s">
        <v>743</v>
      </c>
      <c r="F627" s="28">
        <v>2.3300000000000001E-2</v>
      </c>
      <c r="G627" s="28">
        <v>1.6199999999999999E-2</v>
      </c>
      <c r="H627" s="28"/>
      <c r="I627" s="28" t="s">
        <v>164</v>
      </c>
      <c r="J627" s="22">
        <v>1.28294E-3</v>
      </c>
      <c r="K627" s="22"/>
    </row>
    <row r="628" spans="1:11" x14ac:dyDescent="0.15">
      <c r="A628" s="28" t="s">
        <v>207</v>
      </c>
      <c r="B628" s="28" t="s">
        <v>925</v>
      </c>
      <c r="C628" s="28">
        <v>86</v>
      </c>
      <c r="D628" s="28" t="s">
        <v>593</v>
      </c>
      <c r="E628" s="28" t="s">
        <v>743</v>
      </c>
      <c r="F628" s="28">
        <v>1.01E-2</v>
      </c>
      <c r="G628" s="28">
        <v>5.4199999999999998E-2</v>
      </c>
      <c r="H628" s="28"/>
      <c r="I628" s="28" t="s">
        <v>164</v>
      </c>
      <c r="J628" s="22">
        <v>1.6222E-4</v>
      </c>
      <c r="K628" s="22"/>
    </row>
    <row r="629" spans="1:11" x14ac:dyDescent="0.15">
      <c r="A629" s="28" t="s">
        <v>207</v>
      </c>
      <c r="B629" s="28" t="s">
        <v>925</v>
      </c>
      <c r="C629" s="28">
        <v>86</v>
      </c>
      <c r="D629" s="28" t="s">
        <v>594</v>
      </c>
      <c r="E629" s="28" t="s">
        <v>743</v>
      </c>
      <c r="F629" s="28">
        <v>2.52E-2</v>
      </c>
      <c r="G629" s="28">
        <v>1.54E-2</v>
      </c>
      <c r="H629" s="28"/>
      <c r="I629" s="28" t="s">
        <v>164</v>
      </c>
      <c r="J629" s="22">
        <v>9.5042E-4</v>
      </c>
      <c r="K629" s="22"/>
    </row>
    <row r="630" spans="1:11" x14ac:dyDescent="0.15">
      <c r="A630" s="28" t="s">
        <v>207</v>
      </c>
      <c r="B630" s="28" t="s">
        <v>925</v>
      </c>
      <c r="C630" s="28">
        <v>86</v>
      </c>
      <c r="D630" s="28" t="s">
        <v>595</v>
      </c>
      <c r="E630" s="28" t="s">
        <v>743</v>
      </c>
      <c r="F630" s="28">
        <v>7.8E-2</v>
      </c>
      <c r="G630" s="28">
        <v>5.28E-2</v>
      </c>
      <c r="H630" s="28"/>
      <c r="I630" s="28" t="s">
        <v>164</v>
      </c>
      <c r="J630" s="22">
        <v>1.1732100000000001E-3</v>
      </c>
      <c r="K630" s="22"/>
    </row>
    <row r="631" spans="1:11" x14ac:dyDescent="0.15">
      <c r="A631" s="28" t="s">
        <v>207</v>
      </c>
      <c r="B631" s="28" t="s">
        <v>925</v>
      </c>
      <c r="C631" s="28">
        <v>86</v>
      </c>
      <c r="D631" s="28" t="s">
        <v>596</v>
      </c>
      <c r="E631" s="28" t="s">
        <v>743</v>
      </c>
      <c r="F631" s="28">
        <v>5.33E-2</v>
      </c>
      <c r="G631" s="28">
        <v>0.36520000000000002</v>
      </c>
      <c r="H631" s="28"/>
      <c r="I631" s="28" t="s">
        <v>164</v>
      </c>
      <c r="J631" s="22">
        <v>1.3768999999999999E-4</v>
      </c>
      <c r="K631" s="22"/>
    </row>
    <row r="632" spans="1:11" x14ac:dyDescent="0.15">
      <c r="A632" s="28" t="s">
        <v>207</v>
      </c>
      <c r="B632" s="28" t="s">
        <v>925</v>
      </c>
      <c r="C632" s="28">
        <v>86</v>
      </c>
      <c r="D632" s="28" t="s">
        <v>597</v>
      </c>
      <c r="E632" s="28" t="s">
        <v>743</v>
      </c>
      <c r="F632" s="28">
        <v>2.1999999999999999E-2</v>
      </c>
      <c r="G632" s="28">
        <v>2.0400000000000001E-2</v>
      </c>
      <c r="H632" s="28"/>
      <c r="I632" s="28" t="s">
        <v>164</v>
      </c>
      <c r="J632" s="22">
        <v>7.0673999999999997E-4</v>
      </c>
      <c r="K632" s="22"/>
    </row>
    <row r="633" spans="1:11" x14ac:dyDescent="0.15">
      <c r="A633" s="28" t="s">
        <v>207</v>
      </c>
      <c r="B633" s="28" t="s">
        <v>925</v>
      </c>
      <c r="C633" s="28">
        <v>86</v>
      </c>
      <c r="D633" s="28" t="s">
        <v>598</v>
      </c>
      <c r="E633" s="28" t="s">
        <v>743</v>
      </c>
      <c r="F633" s="28">
        <v>6.6600000000000006E-2</v>
      </c>
      <c r="G633" s="28">
        <v>6.3E-2</v>
      </c>
      <c r="H633" s="28"/>
      <c r="I633" s="28" t="s">
        <v>164</v>
      </c>
      <c r="J633" s="22">
        <v>8.5709000000000002E-4</v>
      </c>
      <c r="K633" s="22"/>
    </row>
    <row r="634" spans="1:11" x14ac:dyDescent="0.15">
      <c r="A634" s="28" t="s">
        <v>207</v>
      </c>
      <c r="B634" s="28" t="s">
        <v>925</v>
      </c>
      <c r="C634" s="28">
        <v>86</v>
      </c>
      <c r="D634" s="28" t="s">
        <v>599</v>
      </c>
      <c r="E634" s="28" t="s">
        <v>743</v>
      </c>
      <c r="F634" s="28">
        <v>5.8299999999999998E-2</v>
      </c>
      <c r="G634" s="28">
        <v>2.8400000000000002E-2</v>
      </c>
      <c r="H634" s="28"/>
      <c r="I634" s="28" t="s">
        <v>164</v>
      </c>
      <c r="J634" s="22">
        <v>1.72554E-3</v>
      </c>
      <c r="K634" s="22"/>
    </row>
    <row r="635" spans="1:11" x14ac:dyDescent="0.15">
      <c r="A635" s="28" t="s">
        <v>207</v>
      </c>
      <c r="B635" s="28" t="s">
        <v>925</v>
      </c>
      <c r="C635" s="28">
        <v>86</v>
      </c>
      <c r="D635" s="28" t="s">
        <v>600</v>
      </c>
      <c r="E635" s="28" t="s">
        <v>743</v>
      </c>
      <c r="F635" s="28">
        <v>2.24E-2</v>
      </c>
      <c r="G635" s="28">
        <v>4.8399999999999999E-2</v>
      </c>
      <c r="H635" s="28"/>
      <c r="I635" s="28" t="s">
        <v>164</v>
      </c>
      <c r="J635" s="22">
        <v>3.9158999999999998E-4</v>
      </c>
      <c r="K635" s="22"/>
    </row>
    <row r="636" spans="1:11" x14ac:dyDescent="0.15">
      <c r="A636" s="28" t="s">
        <v>207</v>
      </c>
      <c r="B636" s="28" t="s">
        <v>925</v>
      </c>
      <c r="C636" s="28">
        <v>86</v>
      </c>
      <c r="D636" s="28" t="s">
        <v>601</v>
      </c>
      <c r="E636" s="28" t="s">
        <v>743</v>
      </c>
      <c r="F636" s="28">
        <v>0.23960000000000001</v>
      </c>
      <c r="G636" s="28">
        <v>5.2444440000000002E-2</v>
      </c>
      <c r="H636" s="28"/>
      <c r="I636" s="28" t="s">
        <v>164</v>
      </c>
      <c r="J636" s="22">
        <v>3.66307E-3</v>
      </c>
      <c r="K636" s="22"/>
    </row>
    <row r="637" spans="1:11" x14ac:dyDescent="0.15">
      <c r="A637" s="28" t="s">
        <v>207</v>
      </c>
      <c r="B637" s="28" t="s">
        <v>925</v>
      </c>
      <c r="C637" s="28">
        <v>86</v>
      </c>
      <c r="D637" s="28" t="s">
        <v>602</v>
      </c>
      <c r="E637" s="28" t="s">
        <v>743</v>
      </c>
      <c r="F637" s="28">
        <v>4.6600000000000003E-2</v>
      </c>
      <c r="G637" s="28">
        <v>6.4000000000000001E-2</v>
      </c>
      <c r="H637" s="28"/>
      <c r="I637" s="28" t="s">
        <v>164</v>
      </c>
      <c r="J637" s="22">
        <v>5.6948000000000003E-4</v>
      </c>
      <c r="K637" s="22"/>
    </row>
    <row r="638" spans="1:11" x14ac:dyDescent="0.15">
      <c r="A638" s="30" t="s">
        <v>208</v>
      </c>
      <c r="B638" s="30" t="s">
        <v>925</v>
      </c>
      <c r="C638" s="30">
        <v>133</v>
      </c>
      <c r="D638" s="30" t="s">
        <v>480</v>
      </c>
      <c r="E638" s="30" t="s">
        <v>742</v>
      </c>
      <c r="F638" s="30">
        <v>1.0760000000000001</v>
      </c>
      <c r="G638" s="30">
        <v>0.42399999999999999</v>
      </c>
      <c r="H638" s="30"/>
      <c r="I638" s="30" t="s">
        <v>164</v>
      </c>
      <c r="J638" s="22">
        <v>2.3940900000000002E-3</v>
      </c>
      <c r="K638" s="22" t="s">
        <v>366</v>
      </c>
    </row>
    <row r="639" spans="1:11" x14ac:dyDescent="0.15">
      <c r="A639" s="30" t="s">
        <v>208</v>
      </c>
      <c r="B639" s="30" t="s">
        <v>925</v>
      </c>
      <c r="C639" s="30">
        <v>133</v>
      </c>
      <c r="D639" s="30" t="s">
        <v>575</v>
      </c>
      <c r="E639" s="30" t="s">
        <v>742</v>
      </c>
      <c r="F639" s="30">
        <v>0.47299999999999998</v>
      </c>
      <c r="G639" s="30">
        <v>0.18099999999999999</v>
      </c>
      <c r="H639" s="30"/>
      <c r="I639" s="30" t="s">
        <v>164</v>
      </c>
      <c r="J639" s="22">
        <v>2.4653399999999999E-3</v>
      </c>
      <c r="K639" s="22"/>
    </row>
    <row r="640" spans="1:11" x14ac:dyDescent="0.15">
      <c r="A640" s="30" t="s">
        <v>208</v>
      </c>
      <c r="B640" s="30" t="s">
        <v>925</v>
      </c>
      <c r="C640" s="30">
        <v>133</v>
      </c>
      <c r="D640" s="30" t="s">
        <v>576</v>
      </c>
      <c r="E640" s="30" t="s">
        <v>742</v>
      </c>
      <c r="F640" s="30">
        <v>0.17337</v>
      </c>
      <c r="G640" s="30">
        <v>0.2235</v>
      </c>
      <c r="H640" s="30"/>
      <c r="I640" s="30" t="s">
        <v>164</v>
      </c>
      <c r="J640" s="22">
        <v>7.3180000000000001E-4</v>
      </c>
      <c r="K640" s="22"/>
    </row>
    <row r="641" spans="1:11" x14ac:dyDescent="0.15">
      <c r="A641" s="30" t="s">
        <v>208</v>
      </c>
      <c r="B641" s="30" t="s">
        <v>925</v>
      </c>
      <c r="C641" s="30">
        <v>133</v>
      </c>
      <c r="D641" s="30" t="s">
        <v>577</v>
      </c>
      <c r="E641" s="30" t="s">
        <v>742</v>
      </c>
      <c r="F641" s="30">
        <v>0.83</v>
      </c>
      <c r="G641" s="30">
        <v>0.113</v>
      </c>
      <c r="H641" s="30"/>
      <c r="I641" s="30" t="s">
        <v>164</v>
      </c>
      <c r="J641" s="22">
        <v>6.9293699999999998E-3</v>
      </c>
      <c r="K641" s="22"/>
    </row>
    <row r="642" spans="1:11" x14ac:dyDescent="0.15">
      <c r="A642" s="30" t="s">
        <v>208</v>
      </c>
      <c r="B642" s="30" t="s">
        <v>925</v>
      </c>
      <c r="C642" s="30">
        <v>133</v>
      </c>
      <c r="D642" s="30" t="s">
        <v>578</v>
      </c>
      <c r="E642" s="30" t="s">
        <v>742</v>
      </c>
      <c r="F642" s="30">
        <v>0.56000000000000005</v>
      </c>
      <c r="G642" s="30">
        <v>4.733333E-2</v>
      </c>
      <c r="H642" s="30"/>
      <c r="I642" s="30" t="s">
        <v>164</v>
      </c>
      <c r="J642" s="22">
        <v>9.1428099999999995E-3</v>
      </c>
      <c r="K642" s="22"/>
    </row>
    <row r="643" spans="1:11" x14ac:dyDescent="0.15">
      <c r="A643" s="30" t="s">
        <v>208</v>
      </c>
      <c r="B643" s="30" t="s">
        <v>925</v>
      </c>
      <c r="C643" s="30">
        <v>133</v>
      </c>
      <c r="D643" s="30" t="s">
        <v>579</v>
      </c>
      <c r="E643" s="30" t="s">
        <v>742</v>
      </c>
      <c r="F643" s="30">
        <v>0.41499999999999998</v>
      </c>
      <c r="G643" s="30">
        <v>5.0799999999999998E-2</v>
      </c>
      <c r="H643" s="30"/>
      <c r="I643" s="30" t="s">
        <v>164</v>
      </c>
      <c r="J643" s="22">
        <v>6.1060799999999998E-3</v>
      </c>
      <c r="K643" s="22"/>
    </row>
    <row r="644" spans="1:11" x14ac:dyDescent="0.15">
      <c r="A644" s="30" t="s">
        <v>208</v>
      </c>
      <c r="B644" s="30" t="s">
        <v>925</v>
      </c>
      <c r="C644" s="30">
        <v>133</v>
      </c>
      <c r="D644" s="30" t="s">
        <v>580</v>
      </c>
      <c r="E644" s="30" t="s">
        <v>742</v>
      </c>
      <c r="F644" s="30">
        <v>9.2999999999999999E-2</v>
      </c>
      <c r="G644" s="30">
        <v>0.15166667</v>
      </c>
      <c r="H644" s="30"/>
      <c r="I644" s="30" t="s">
        <v>164</v>
      </c>
      <c r="J644" s="22">
        <v>5.7848000000000003E-4</v>
      </c>
      <c r="K644" s="22"/>
    </row>
    <row r="645" spans="1:11" x14ac:dyDescent="0.15">
      <c r="A645" s="30" t="s">
        <v>208</v>
      </c>
      <c r="B645" s="30" t="s">
        <v>925</v>
      </c>
      <c r="C645" s="30">
        <v>133</v>
      </c>
      <c r="D645" s="30" t="s">
        <v>581</v>
      </c>
      <c r="E645" s="30" t="s">
        <v>742</v>
      </c>
      <c r="F645" s="30">
        <v>0.13200000000000001</v>
      </c>
      <c r="G645" s="30">
        <v>3.4666669999999997E-2</v>
      </c>
      <c r="H645" s="30"/>
      <c r="I645" s="30" t="s">
        <v>164</v>
      </c>
      <c r="J645" s="22">
        <v>3.1109000000000002E-3</v>
      </c>
      <c r="K645" s="22"/>
    </row>
    <row r="646" spans="1:11" x14ac:dyDescent="0.15">
      <c r="A646" s="30" t="s">
        <v>208</v>
      </c>
      <c r="B646" s="30" t="s">
        <v>925</v>
      </c>
      <c r="C646" s="30">
        <v>133</v>
      </c>
      <c r="D646" s="30" t="s">
        <v>482</v>
      </c>
      <c r="E646" s="30" t="s">
        <v>742</v>
      </c>
      <c r="F646" s="30">
        <v>0.35</v>
      </c>
      <c r="G646" s="30">
        <v>0.24099999999999999</v>
      </c>
      <c r="H646" s="30"/>
      <c r="I646" s="30" t="s">
        <v>164</v>
      </c>
      <c r="J646" s="22">
        <v>1.3700800000000001E-3</v>
      </c>
      <c r="K646" s="22"/>
    </row>
    <row r="647" spans="1:11" x14ac:dyDescent="0.15">
      <c r="A647" s="30" t="s">
        <v>208</v>
      </c>
      <c r="B647" s="30" t="s">
        <v>925</v>
      </c>
      <c r="C647" s="30">
        <v>133</v>
      </c>
      <c r="D647" s="30" t="s">
        <v>484</v>
      </c>
      <c r="E647" s="30" t="s">
        <v>742</v>
      </c>
      <c r="F647" s="30">
        <v>0.40699999999999997</v>
      </c>
      <c r="G647" s="30">
        <v>0.11</v>
      </c>
      <c r="H647" s="30"/>
      <c r="I647" s="30" t="s">
        <v>164</v>
      </c>
      <c r="J647" s="22">
        <v>2.6739300000000001E-3</v>
      </c>
      <c r="K647" s="22"/>
    </row>
    <row r="648" spans="1:11" x14ac:dyDescent="0.15">
      <c r="A648" s="30" t="s">
        <v>208</v>
      </c>
      <c r="B648" s="30" t="s">
        <v>925</v>
      </c>
      <c r="C648" s="30">
        <v>133</v>
      </c>
      <c r="D648" s="30" t="s">
        <v>582</v>
      </c>
      <c r="E648" s="30" t="s">
        <v>742</v>
      </c>
      <c r="F648" s="30">
        <v>1.9E-2</v>
      </c>
      <c r="G648" s="30">
        <v>0.1275</v>
      </c>
      <c r="H648" s="30"/>
      <c r="I648" s="30" t="s">
        <v>164</v>
      </c>
      <c r="J648" s="22">
        <v>1.4059000000000001E-4</v>
      </c>
      <c r="K648" s="22"/>
    </row>
    <row r="649" spans="1:11" x14ac:dyDescent="0.15">
      <c r="A649" s="30" t="s">
        <v>208</v>
      </c>
      <c r="B649" s="30" t="s">
        <v>925</v>
      </c>
      <c r="C649" s="30">
        <v>133</v>
      </c>
      <c r="D649" s="30" t="s">
        <v>583</v>
      </c>
      <c r="E649" s="30" t="s">
        <v>742</v>
      </c>
      <c r="F649" s="30">
        <v>4.7660000000000003E-3</v>
      </c>
      <c r="G649" s="30">
        <v>0.13225000000000001</v>
      </c>
      <c r="H649" s="30"/>
      <c r="I649" s="30" t="s">
        <v>164</v>
      </c>
      <c r="J649" s="22">
        <v>3.4E-5</v>
      </c>
      <c r="K649" s="22"/>
    </row>
    <row r="650" spans="1:11" x14ac:dyDescent="0.15">
      <c r="A650" s="30" t="s">
        <v>208</v>
      </c>
      <c r="B650" s="30" t="s">
        <v>925</v>
      </c>
      <c r="C650" s="30">
        <v>133</v>
      </c>
      <c r="D650" s="30" t="s">
        <v>584</v>
      </c>
      <c r="E650" s="30" t="s">
        <v>742</v>
      </c>
      <c r="F650" s="30">
        <v>1.0189999999999999</v>
      </c>
      <c r="G650" s="30">
        <v>7.4999999999999997E-2</v>
      </c>
      <c r="H650" s="30"/>
      <c r="I650" s="30" t="s">
        <v>164</v>
      </c>
      <c r="J650" s="22">
        <v>1.0336690000000001E-2</v>
      </c>
      <c r="K650" s="22"/>
    </row>
    <row r="651" spans="1:11" x14ac:dyDescent="0.15">
      <c r="A651" s="30" t="s">
        <v>208</v>
      </c>
      <c r="B651" s="30" t="s">
        <v>925</v>
      </c>
      <c r="C651" s="30">
        <v>133</v>
      </c>
      <c r="D651" s="30" t="s">
        <v>585</v>
      </c>
      <c r="E651" s="30" t="s">
        <v>742</v>
      </c>
      <c r="F651" s="30">
        <v>0.32300000000000001</v>
      </c>
      <c r="G651" s="30">
        <v>7.0999999999999994E-2</v>
      </c>
      <c r="H651" s="30"/>
      <c r="I651" s="30" t="s">
        <v>164</v>
      </c>
      <c r="J651" s="22">
        <v>2.7587100000000002E-3</v>
      </c>
      <c r="K651" s="22"/>
    </row>
    <row r="652" spans="1:11" x14ac:dyDescent="0.15">
      <c r="A652" s="30" t="s">
        <v>208</v>
      </c>
      <c r="B652" s="30" t="s">
        <v>925</v>
      </c>
      <c r="C652" s="30">
        <v>133</v>
      </c>
      <c r="D652" s="30" t="s">
        <v>586</v>
      </c>
      <c r="E652" s="30" t="s">
        <v>742</v>
      </c>
      <c r="F652" s="30">
        <v>0.11260000000000001</v>
      </c>
      <c r="G652" s="30">
        <v>0.16033333</v>
      </c>
      <c r="H652" s="30"/>
      <c r="I652" s="30" t="s">
        <v>164</v>
      </c>
      <c r="J652" s="22">
        <v>5.8677999999999996E-4</v>
      </c>
      <c r="K652" s="22"/>
    </row>
    <row r="653" spans="1:11" x14ac:dyDescent="0.15">
      <c r="A653" s="30" t="s">
        <v>208</v>
      </c>
      <c r="B653" s="30" t="s">
        <v>925</v>
      </c>
      <c r="C653" s="30">
        <v>133</v>
      </c>
      <c r="D653" s="30" t="s">
        <v>587</v>
      </c>
      <c r="E653" s="30" t="s">
        <v>742</v>
      </c>
      <c r="F653" s="30">
        <v>7.9268000000000005E-2</v>
      </c>
      <c r="G653" s="30">
        <v>0.17633333000000001</v>
      </c>
      <c r="H653" s="30"/>
      <c r="I653" s="30" t="s">
        <v>164</v>
      </c>
      <c r="J653" s="22">
        <v>3.7445000000000002E-4</v>
      </c>
      <c r="K653" s="22"/>
    </row>
    <row r="654" spans="1:11" x14ac:dyDescent="0.15">
      <c r="A654" s="30" t="s">
        <v>208</v>
      </c>
      <c r="B654" s="30" t="s">
        <v>925</v>
      </c>
      <c r="C654" s="30">
        <v>133</v>
      </c>
      <c r="D654" s="30" t="s">
        <v>491</v>
      </c>
      <c r="E654" s="30" t="s">
        <v>742</v>
      </c>
      <c r="F654" s="30">
        <v>0.28999999999999998</v>
      </c>
      <c r="G654" s="30">
        <v>5.0999999999999997E-2</v>
      </c>
      <c r="H654" s="30"/>
      <c r="I654" s="30" t="s">
        <v>164</v>
      </c>
      <c r="J654" s="22">
        <v>4.0791300000000003E-3</v>
      </c>
      <c r="K654" s="22"/>
    </row>
    <row r="655" spans="1:11" x14ac:dyDescent="0.15">
      <c r="A655" s="30" t="s">
        <v>208</v>
      </c>
      <c r="B655" s="30" t="s">
        <v>925</v>
      </c>
      <c r="C655" s="30">
        <v>133</v>
      </c>
      <c r="D655" s="30" t="s">
        <v>588</v>
      </c>
      <c r="E655" s="30" t="s">
        <v>742</v>
      </c>
      <c r="F655" s="30">
        <v>0.114</v>
      </c>
      <c r="G655" s="30">
        <v>0.16600000000000001</v>
      </c>
      <c r="H655" s="30"/>
      <c r="I655" s="30" t="s">
        <v>164</v>
      </c>
      <c r="J655" s="22">
        <v>6.4787999999999998E-4</v>
      </c>
      <c r="K655" s="22"/>
    </row>
    <row r="656" spans="1:11" x14ac:dyDescent="0.15">
      <c r="A656" s="30" t="s">
        <v>208</v>
      </c>
      <c r="B656" s="30" t="s">
        <v>925</v>
      </c>
      <c r="C656" s="30">
        <v>133</v>
      </c>
      <c r="D656" s="30" t="s">
        <v>589</v>
      </c>
      <c r="E656" s="30" t="s">
        <v>743</v>
      </c>
      <c r="F656" s="30">
        <v>3.6421000000000002E-2</v>
      </c>
      <c r="G656" s="30">
        <v>0.1018</v>
      </c>
      <c r="H656" s="30"/>
      <c r="I656" s="30" t="s">
        <v>164</v>
      </c>
      <c r="J656" s="22">
        <v>3.3752000000000001E-4</v>
      </c>
      <c r="K656" s="22"/>
    </row>
    <row r="657" spans="1:11" x14ac:dyDescent="0.15">
      <c r="A657" s="30" t="s">
        <v>208</v>
      </c>
      <c r="B657" s="30" t="s">
        <v>925</v>
      </c>
      <c r="C657" s="30">
        <v>133</v>
      </c>
      <c r="D657" s="30" t="s">
        <v>590</v>
      </c>
      <c r="E657" s="30" t="s">
        <v>743</v>
      </c>
      <c r="F657" s="30">
        <v>0.15673999999999999</v>
      </c>
      <c r="G657" s="30">
        <v>0.13700000000000001</v>
      </c>
      <c r="H657" s="30"/>
      <c r="I657" s="30" t="s">
        <v>164</v>
      </c>
      <c r="J657" s="22">
        <v>9.2192000000000001E-4</v>
      </c>
      <c r="K657" s="22"/>
    </row>
    <row r="658" spans="1:11" x14ac:dyDescent="0.15">
      <c r="A658" s="30" t="s">
        <v>208</v>
      </c>
      <c r="B658" s="30" t="s">
        <v>925</v>
      </c>
      <c r="C658" s="30">
        <v>133</v>
      </c>
      <c r="D658" s="30" t="s">
        <v>591</v>
      </c>
      <c r="E658" s="30" t="s">
        <v>743</v>
      </c>
      <c r="F658" s="30">
        <v>0.25</v>
      </c>
      <c r="G658" s="30">
        <v>0.192</v>
      </c>
      <c r="H658" s="30"/>
      <c r="I658" s="30" t="s">
        <v>164</v>
      </c>
      <c r="J658" s="22">
        <v>1.2283800000000001E-3</v>
      </c>
      <c r="K658" s="22"/>
    </row>
    <row r="659" spans="1:11" x14ac:dyDescent="0.15">
      <c r="A659" s="30" t="s">
        <v>208</v>
      </c>
      <c r="B659" s="30" t="s">
        <v>925</v>
      </c>
      <c r="C659" s="30">
        <v>133</v>
      </c>
      <c r="D659" s="30" t="s">
        <v>592</v>
      </c>
      <c r="E659" s="30" t="s">
        <v>743</v>
      </c>
      <c r="F659" s="30">
        <v>3.4000000000000002E-2</v>
      </c>
      <c r="G659" s="30">
        <v>0.17</v>
      </c>
      <c r="H659" s="30"/>
      <c r="I659" s="30" t="s">
        <v>164</v>
      </c>
      <c r="J659" s="22">
        <v>1.8867999999999999E-4</v>
      </c>
      <c r="K659" s="22"/>
    </row>
    <row r="660" spans="1:11" x14ac:dyDescent="0.15">
      <c r="A660" s="30" t="s">
        <v>208</v>
      </c>
      <c r="B660" s="30" t="s">
        <v>925</v>
      </c>
      <c r="C660" s="30">
        <v>133</v>
      </c>
      <c r="D660" s="30" t="s">
        <v>593</v>
      </c>
      <c r="E660" s="30" t="s">
        <v>743</v>
      </c>
      <c r="F660" s="30">
        <v>7.0000000000000007E-2</v>
      </c>
      <c r="G660" s="30">
        <v>0.01</v>
      </c>
      <c r="H660" s="30"/>
      <c r="I660" s="30" t="s">
        <v>164</v>
      </c>
      <c r="J660" s="22">
        <v>5.9850499999999996E-3</v>
      </c>
      <c r="K660" s="22"/>
    </row>
    <row r="661" spans="1:11" x14ac:dyDescent="0.15">
      <c r="A661" s="30" t="s">
        <v>208</v>
      </c>
      <c r="B661" s="30" t="s">
        <v>925</v>
      </c>
      <c r="C661" s="30">
        <v>133</v>
      </c>
      <c r="D661" s="30" t="s">
        <v>594</v>
      </c>
      <c r="E661" s="30" t="s">
        <v>743</v>
      </c>
      <c r="F661" s="30">
        <v>0.15</v>
      </c>
      <c r="G661" s="30">
        <v>2.1250000000000002E-2</v>
      </c>
      <c r="H661" s="30"/>
      <c r="I661" s="30" t="s">
        <v>164</v>
      </c>
      <c r="J661" s="22">
        <v>5.1012999999999996E-3</v>
      </c>
      <c r="K661" s="22"/>
    </row>
    <row r="662" spans="1:11" x14ac:dyDescent="0.15">
      <c r="A662" s="30" t="s">
        <v>208</v>
      </c>
      <c r="B662" s="30" t="s">
        <v>925</v>
      </c>
      <c r="C662" s="30">
        <v>133</v>
      </c>
      <c r="D662" s="30" t="s">
        <v>595</v>
      </c>
      <c r="E662" s="30" t="s">
        <v>743</v>
      </c>
      <c r="F662" s="30">
        <v>9.2350000000000002E-2</v>
      </c>
      <c r="G662" s="30">
        <v>4.0666670000000002E-2</v>
      </c>
      <c r="H662" s="30"/>
      <c r="I662" s="30" t="s">
        <v>164</v>
      </c>
      <c r="J662" s="22">
        <v>1.54109E-3</v>
      </c>
      <c r="K662" s="22"/>
    </row>
    <row r="663" spans="1:11" x14ac:dyDescent="0.15">
      <c r="A663" s="30" t="s">
        <v>208</v>
      </c>
      <c r="B663" s="30" t="s">
        <v>925</v>
      </c>
      <c r="C663" s="30">
        <v>133</v>
      </c>
      <c r="D663" s="30" t="s">
        <v>596</v>
      </c>
      <c r="E663" s="30" t="s">
        <v>743</v>
      </c>
      <c r="F663" s="30">
        <v>0.13700000000000001</v>
      </c>
      <c r="G663" s="30">
        <v>0.185</v>
      </c>
      <c r="H663" s="30"/>
      <c r="I663" s="30" t="s">
        <v>164</v>
      </c>
      <c r="J663" s="22">
        <v>6.9861999999999995E-4</v>
      </c>
      <c r="K663" s="22"/>
    </row>
    <row r="664" spans="1:11" x14ac:dyDescent="0.15">
      <c r="A664" s="30" t="s">
        <v>208</v>
      </c>
      <c r="B664" s="30" t="s">
        <v>925</v>
      </c>
      <c r="C664" s="30">
        <v>133</v>
      </c>
      <c r="D664" s="30" t="s">
        <v>597</v>
      </c>
      <c r="E664" s="30" t="s">
        <v>743</v>
      </c>
      <c r="F664" s="30">
        <v>2.1999999999999999E-2</v>
      </c>
      <c r="G664" s="30">
        <v>0.02</v>
      </c>
      <c r="H664" s="30"/>
      <c r="I664" s="30" t="s">
        <v>164</v>
      </c>
      <c r="J664" s="22">
        <v>8.1402000000000004E-4</v>
      </c>
      <c r="K664" s="22"/>
    </row>
    <row r="665" spans="1:11" x14ac:dyDescent="0.15">
      <c r="A665" s="30" t="s">
        <v>208</v>
      </c>
      <c r="B665" s="30" t="s">
        <v>925</v>
      </c>
      <c r="C665" s="30">
        <v>133</v>
      </c>
      <c r="D665" s="30" t="s">
        <v>598</v>
      </c>
      <c r="E665" s="30" t="s">
        <v>743</v>
      </c>
      <c r="F665" s="30">
        <v>6.9000000000000006E-2</v>
      </c>
      <c r="G665" s="30">
        <v>0.15125</v>
      </c>
      <c r="H665" s="30"/>
      <c r="I665" s="30" t="s">
        <v>164</v>
      </c>
      <c r="J665" s="22">
        <v>4.3038000000000001E-4</v>
      </c>
      <c r="K665" s="22"/>
    </row>
    <row r="666" spans="1:11" x14ac:dyDescent="0.15">
      <c r="A666" s="30" t="s">
        <v>208</v>
      </c>
      <c r="B666" s="30" t="s">
        <v>925</v>
      </c>
      <c r="C666" s="30">
        <v>133</v>
      </c>
      <c r="D666" s="30" t="s">
        <v>599</v>
      </c>
      <c r="E666" s="30" t="s">
        <v>743</v>
      </c>
      <c r="F666" s="30">
        <v>4.5999999999999999E-2</v>
      </c>
      <c r="G666" s="30">
        <v>2.1999999999999999E-2</v>
      </c>
      <c r="H666" s="30"/>
      <c r="I666" s="30" t="s">
        <v>164</v>
      </c>
      <c r="J666" s="22">
        <v>1.39481E-3</v>
      </c>
      <c r="K666" s="22"/>
    </row>
    <row r="667" spans="1:11" x14ac:dyDescent="0.15">
      <c r="A667" s="30" t="s">
        <v>208</v>
      </c>
      <c r="B667" s="30" t="s">
        <v>925</v>
      </c>
      <c r="C667" s="30">
        <v>133</v>
      </c>
      <c r="D667" s="30" t="s">
        <v>600</v>
      </c>
      <c r="E667" s="30" t="s">
        <v>743</v>
      </c>
      <c r="F667" s="30">
        <v>4.2000000000000003E-2</v>
      </c>
      <c r="G667" s="30">
        <v>0.2</v>
      </c>
      <c r="H667" s="30"/>
      <c r="I667" s="30" t="s">
        <v>164</v>
      </c>
      <c r="J667" s="22">
        <v>1.9811000000000001E-4</v>
      </c>
      <c r="K667" s="22"/>
    </row>
    <row r="668" spans="1:11" x14ac:dyDescent="0.15">
      <c r="A668" s="30" t="s">
        <v>208</v>
      </c>
      <c r="B668" s="30" t="s">
        <v>925</v>
      </c>
      <c r="C668" s="30">
        <v>133</v>
      </c>
      <c r="D668" s="30" t="s">
        <v>601</v>
      </c>
      <c r="E668" s="30" t="s">
        <v>743</v>
      </c>
      <c r="F668" s="30">
        <v>0.28499999999999998</v>
      </c>
      <c r="G668" s="30">
        <v>3.125E-2</v>
      </c>
      <c r="H668" s="30"/>
      <c r="I668" s="30" t="s">
        <v>164</v>
      </c>
      <c r="J668" s="22">
        <v>6.5908700000000004E-3</v>
      </c>
      <c r="K668" s="22"/>
    </row>
    <row r="669" spans="1:11" x14ac:dyDescent="0.15">
      <c r="A669" s="30" t="s">
        <v>208</v>
      </c>
      <c r="B669" s="30" t="s">
        <v>925</v>
      </c>
      <c r="C669" s="30">
        <v>133</v>
      </c>
      <c r="D669" s="30" t="s">
        <v>602</v>
      </c>
      <c r="E669" s="30" t="s">
        <v>743</v>
      </c>
      <c r="F669" s="30">
        <v>1.0018000000000001E-2</v>
      </c>
      <c r="G669" s="30">
        <v>0.23866667</v>
      </c>
      <c r="H669" s="30"/>
      <c r="I669" s="30" t="s">
        <v>164</v>
      </c>
      <c r="J669" s="22">
        <v>3.96E-5</v>
      </c>
      <c r="K669" s="22"/>
    </row>
    <row r="670" spans="1:11" x14ac:dyDescent="0.15">
      <c r="A670" s="43" t="s">
        <v>603</v>
      </c>
      <c r="B670" s="43" t="s">
        <v>925</v>
      </c>
      <c r="C670" s="43">
        <v>1.329</v>
      </c>
      <c r="D670" s="43" t="s">
        <v>604</v>
      </c>
      <c r="E670" s="43" t="s">
        <v>742</v>
      </c>
      <c r="F670" s="43">
        <v>4.5267441860000002E-3</v>
      </c>
      <c r="G670" s="43">
        <v>1.8033691009999998E-2</v>
      </c>
      <c r="H670" s="43">
        <v>22.16</v>
      </c>
      <c r="I670" s="43" t="s">
        <v>605</v>
      </c>
      <c r="J670" s="22">
        <f t="shared" ref="J670:J733" si="15">F670*COS(RADIANS(H670))/(1060*G670)</f>
        <v>2.1931551587495656E-4</v>
      </c>
      <c r="K670" s="22" t="s">
        <v>660</v>
      </c>
    </row>
    <row r="671" spans="1:11" x14ac:dyDescent="0.15">
      <c r="A671" s="43" t="s">
        <v>603</v>
      </c>
      <c r="B671" s="43" t="s">
        <v>925</v>
      </c>
      <c r="C671" s="43">
        <v>1.329</v>
      </c>
      <c r="D671" s="43" t="s">
        <v>606</v>
      </c>
      <c r="E671" s="43" t="s">
        <v>742</v>
      </c>
      <c r="F671" s="43">
        <v>1.4522093025E-2</v>
      </c>
      <c r="G671" s="43">
        <v>2.0842623595000002E-2</v>
      </c>
      <c r="H671" s="43">
        <v>18.855</v>
      </c>
      <c r="I671" s="43" t="s">
        <v>605</v>
      </c>
      <c r="J671" s="22">
        <f t="shared" si="15"/>
        <v>6.2203943500111283E-4</v>
      </c>
      <c r="K671" s="22" t="s">
        <v>915</v>
      </c>
    </row>
    <row r="672" spans="1:11" x14ac:dyDescent="0.15">
      <c r="A672" s="43" t="s">
        <v>603</v>
      </c>
      <c r="B672" s="43" t="s">
        <v>925</v>
      </c>
      <c r="C672" s="43">
        <v>1.329</v>
      </c>
      <c r="D672" s="43" t="s">
        <v>607</v>
      </c>
      <c r="E672" s="43" t="s">
        <v>742</v>
      </c>
      <c r="F672" s="43">
        <v>7.325581395E-4</v>
      </c>
      <c r="G672" s="43">
        <v>1.000014045E-2</v>
      </c>
      <c r="H672" s="43">
        <v>34.964550000000003</v>
      </c>
      <c r="I672" s="43" t="s">
        <v>605</v>
      </c>
      <c r="J672" s="22">
        <f t="shared" si="15"/>
        <v>5.6634709746154765E-5</v>
      </c>
      <c r="K672" s="22"/>
    </row>
    <row r="673" spans="1:11" x14ac:dyDescent="0.15">
      <c r="A673" s="43" t="s">
        <v>603</v>
      </c>
      <c r="B673" s="43" t="s">
        <v>925</v>
      </c>
      <c r="C673" s="43">
        <v>1.329</v>
      </c>
      <c r="D673" s="43" t="s">
        <v>608</v>
      </c>
      <c r="E673" s="43" t="s">
        <v>742</v>
      </c>
      <c r="F673" s="43">
        <v>2.3546511629999999E-3</v>
      </c>
      <c r="G673" s="43">
        <v>1.0393179775000001E-2</v>
      </c>
      <c r="H673" s="43">
        <v>22.55855</v>
      </c>
      <c r="I673" s="43" t="s">
        <v>605</v>
      </c>
      <c r="J673" s="22">
        <f t="shared" si="15"/>
        <v>1.9738017206235E-4</v>
      </c>
      <c r="K673" s="22"/>
    </row>
    <row r="674" spans="1:11" x14ac:dyDescent="0.15">
      <c r="A674" s="43" t="s">
        <v>603</v>
      </c>
      <c r="B674" s="43" t="s">
        <v>925</v>
      </c>
      <c r="C674" s="43">
        <v>1.329</v>
      </c>
      <c r="D674" s="43" t="s">
        <v>609</v>
      </c>
      <c r="E674" s="43" t="s">
        <v>742</v>
      </c>
      <c r="F674" s="43">
        <v>1.9337209299999999E-3</v>
      </c>
      <c r="G674" s="43">
        <v>1.0562039325E-2</v>
      </c>
      <c r="H674" s="43">
        <v>19.453749999999999</v>
      </c>
      <c r="I674" s="43" t="s">
        <v>605</v>
      </c>
      <c r="J674" s="22">
        <f t="shared" si="15"/>
        <v>1.6285859656372856E-4</v>
      </c>
      <c r="K674" s="22"/>
    </row>
    <row r="675" spans="1:11" x14ac:dyDescent="0.15">
      <c r="A675" s="43" t="s">
        <v>603</v>
      </c>
      <c r="B675" s="43" t="s">
        <v>925</v>
      </c>
      <c r="C675" s="43">
        <v>1.329</v>
      </c>
      <c r="D675" s="43" t="s">
        <v>610</v>
      </c>
      <c r="E675" s="43" t="s">
        <v>742</v>
      </c>
      <c r="F675" s="43">
        <v>1.4174418605E-3</v>
      </c>
      <c r="G675" s="43">
        <v>1.0617837080000001E-2</v>
      </c>
      <c r="H675" s="43">
        <v>21.695700000000002</v>
      </c>
      <c r="I675" s="43" t="s">
        <v>605</v>
      </c>
      <c r="J675" s="22">
        <f t="shared" si="15"/>
        <v>1.1701835424526153E-4</v>
      </c>
      <c r="K675" s="22"/>
    </row>
    <row r="676" spans="1:11" x14ac:dyDescent="0.15">
      <c r="A676" s="43" t="s">
        <v>603</v>
      </c>
      <c r="B676" s="43" t="s">
        <v>925</v>
      </c>
      <c r="C676" s="43">
        <v>1.329</v>
      </c>
      <c r="D676" s="43" t="s">
        <v>611</v>
      </c>
      <c r="E676" s="43" t="s">
        <v>742</v>
      </c>
      <c r="F676" s="43">
        <v>2.2587209305000001E-3</v>
      </c>
      <c r="G676" s="43">
        <v>1.0112213485E-2</v>
      </c>
      <c r="H676" s="43">
        <v>20.7821</v>
      </c>
      <c r="I676" s="43" t="s">
        <v>605</v>
      </c>
      <c r="J676" s="22">
        <f t="shared" si="15"/>
        <v>1.9701197710827073E-4</v>
      </c>
      <c r="K676" s="22"/>
    </row>
    <row r="677" spans="1:11" x14ac:dyDescent="0.15">
      <c r="A677" s="43" t="s">
        <v>603</v>
      </c>
      <c r="B677" s="43" t="s">
        <v>925</v>
      </c>
      <c r="C677" s="43">
        <v>1.329</v>
      </c>
      <c r="D677" s="43" t="s">
        <v>612</v>
      </c>
      <c r="E677" s="43" t="s">
        <v>742</v>
      </c>
      <c r="F677" s="43">
        <v>6.4476744199999994E-4</v>
      </c>
      <c r="G677" s="43">
        <v>1.1179971909999999E-2</v>
      </c>
      <c r="H677" s="43">
        <v>18.58445</v>
      </c>
      <c r="I677" s="43" t="s">
        <v>605</v>
      </c>
      <c r="J677" s="22">
        <f t="shared" si="15"/>
        <v>5.1570150600017553E-5</v>
      </c>
      <c r="K677" s="22"/>
    </row>
    <row r="678" spans="1:11" x14ac:dyDescent="0.15">
      <c r="A678" s="43" t="s">
        <v>603</v>
      </c>
      <c r="B678" s="43" t="s">
        <v>925</v>
      </c>
      <c r="C678" s="43">
        <v>1.329</v>
      </c>
      <c r="D678" s="43" t="s">
        <v>613</v>
      </c>
      <c r="E678" s="43" t="s">
        <v>742</v>
      </c>
      <c r="F678" s="43">
        <v>8.4476744199999993E-4</v>
      </c>
      <c r="G678" s="43">
        <v>1.3763848315E-2</v>
      </c>
      <c r="H678" s="43">
        <v>26.09365</v>
      </c>
      <c r="I678" s="43" t="s">
        <v>605</v>
      </c>
      <c r="J678" s="22">
        <f t="shared" si="15"/>
        <v>5.2000159236192202E-5</v>
      </c>
      <c r="K678" s="22"/>
    </row>
    <row r="679" spans="1:11" x14ac:dyDescent="0.15">
      <c r="A679" s="43" t="s">
        <v>603</v>
      </c>
      <c r="B679" s="43" t="s">
        <v>925</v>
      </c>
      <c r="C679" s="43">
        <v>1.329</v>
      </c>
      <c r="D679" s="43" t="s">
        <v>614</v>
      </c>
      <c r="E679" s="43" t="s">
        <v>742</v>
      </c>
      <c r="F679" s="43">
        <v>6.1430232559999999E-3</v>
      </c>
      <c r="G679" s="43">
        <v>1.6909977529999998E-2</v>
      </c>
      <c r="H679" s="43">
        <v>17.562750000000001</v>
      </c>
      <c r="I679" s="43" t="s">
        <v>605</v>
      </c>
      <c r="J679" s="22">
        <f t="shared" si="15"/>
        <v>3.267401553119346E-4</v>
      </c>
      <c r="K679" s="22"/>
    </row>
    <row r="680" spans="1:11" x14ac:dyDescent="0.15">
      <c r="A680" s="43" t="s">
        <v>603</v>
      </c>
      <c r="B680" s="43" t="s">
        <v>925</v>
      </c>
      <c r="C680" s="43">
        <v>1.329</v>
      </c>
      <c r="D680" s="43" t="s">
        <v>616</v>
      </c>
      <c r="E680" s="43" t="s">
        <v>742</v>
      </c>
      <c r="F680" s="43">
        <v>8.8488372099999987E-4</v>
      </c>
      <c r="G680" s="43">
        <v>2.0955185394999999E-2</v>
      </c>
      <c r="H680" s="43">
        <v>0</v>
      </c>
      <c r="I680" s="43" t="s">
        <v>605</v>
      </c>
      <c r="J680" s="22">
        <f t="shared" si="15"/>
        <v>3.9837202461913464E-5</v>
      </c>
      <c r="K680" s="22"/>
    </row>
    <row r="681" spans="1:11" x14ac:dyDescent="0.15">
      <c r="A681" s="43" t="s">
        <v>603</v>
      </c>
      <c r="B681" s="43" t="s">
        <v>925</v>
      </c>
      <c r="C681" s="43">
        <v>1.329</v>
      </c>
      <c r="D681" s="43" t="s">
        <v>615</v>
      </c>
      <c r="E681" s="43" t="s">
        <v>743</v>
      </c>
      <c r="F681" s="43">
        <v>3.2325581399999999E-4</v>
      </c>
      <c r="G681" s="43">
        <v>9.4943820200000008E-3</v>
      </c>
      <c r="H681" s="43">
        <v>0</v>
      </c>
      <c r="I681" s="43" t="s">
        <v>605</v>
      </c>
      <c r="J681" s="22">
        <f>F681*COS(RADIANS(H681))/(1060*G681)</f>
        <v>3.2119869882204255E-5</v>
      </c>
      <c r="K681" s="22"/>
    </row>
    <row r="682" spans="1:11" x14ac:dyDescent="0.15">
      <c r="A682" s="43" t="s">
        <v>603</v>
      </c>
      <c r="B682" s="43" t="s">
        <v>925</v>
      </c>
      <c r="C682" s="43">
        <v>1.329</v>
      </c>
      <c r="D682" s="43" t="s">
        <v>617</v>
      </c>
      <c r="E682" s="43" t="s">
        <v>743</v>
      </c>
      <c r="F682" s="43">
        <v>2.5813953500000003E-4</v>
      </c>
      <c r="G682" s="43">
        <v>7.5843483149999995E-3</v>
      </c>
      <c r="H682" s="43">
        <v>30.532199999999996</v>
      </c>
      <c r="I682" s="43" t="s">
        <v>605</v>
      </c>
      <c r="J682" s="22">
        <f t="shared" si="15"/>
        <v>2.7657117515831121E-5</v>
      </c>
      <c r="K682" s="22"/>
    </row>
    <row r="683" spans="1:11" x14ac:dyDescent="0.15">
      <c r="A683" s="43" t="s">
        <v>603</v>
      </c>
      <c r="B683" s="43" t="s">
        <v>925</v>
      </c>
      <c r="C683" s="43">
        <v>1.329</v>
      </c>
      <c r="D683" s="43" t="s">
        <v>618</v>
      </c>
      <c r="E683" s="43" t="s">
        <v>743</v>
      </c>
      <c r="F683" s="43">
        <v>4.2441860450000005E-4</v>
      </c>
      <c r="G683" s="43">
        <v>8.3148426950000014E-3</v>
      </c>
      <c r="H683" s="43">
        <v>22.881799999999998</v>
      </c>
      <c r="I683" s="43" t="s">
        <v>605</v>
      </c>
      <c r="J683" s="22">
        <f t="shared" si="15"/>
        <v>4.4364930676428994E-5</v>
      </c>
      <c r="K683" s="22"/>
    </row>
    <row r="684" spans="1:11" x14ac:dyDescent="0.15">
      <c r="A684" s="43" t="s">
        <v>603</v>
      </c>
      <c r="B684" s="43" t="s">
        <v>925</v>
      </c>
      <c r="C684" s="43">
        <v>1.329</v>
      </c>
      <c r="D684" s="43" t="s">
        <v>619</v>
      </c>
      <c r="E684" s="43" t="s">
        <v>743</v>
      </c>
      <c r="F684" s="43">
        <v>3.0523255849999994E-4</v>
      </c>
      <c r="G684" s="43">
        <v>6.3480898900000002E-3</v>
      </c>
      <c r="H684" s="43">
        <v>32.839399999999998</v>
      </c>
      <c r="I684" s="43" t="s">
        <v>605</v>
      </c>
      <c r="J684" s="22">
        <f t="shared" si="15"/>
        <v>3.8111974120768026E-5</v>
      </c>
      <c r="K684" s="22"/>
    </row>
    <row r="685" spans="1:11" x14ac:dyDescent="0.15">
      <c r="A685" s="43" t="s">
        <v>603</v>
      </c>
      <c r="B685" s="43" t="s">
        <v>925</v>
      </c>
      <c r="C685" s="43">
        <v>1.329</v>
      </c>
      <c r="D685" s="43" t="s">
        <v>620</v>
      </c>
      <c r="E685" s="43" t="s">
        <v>743</v>
      </c>
      <c r="F685" s="43">
        <v>2.1453488399999999E-4</v>
      </c>
      <c r="G685" s="43">
        <v>9.0449213499999986E-3</v>
      </c>
      <c r="H685" s="43">
        <v>17.39725</v>
      </c>
      <c r="I685" s="43" t="s">
        <v>605</v>
      </c>
      <c r="J685" s="22">
        <f t="shared" si="15"/>
        <v>2.1352639037766529E-5</v>
      </c>
      <c r="K685" s="22"/>
    </row>
    <row r="686" spans="1:11" x14ac:dyDescent="0.15">
      <c r="A686" s="43" t="s">
        <v>603</v>
      </c>
      <c r="B686" s="43" t="s">
        <v>925</v>
      </c>
      <c r="C686" s="43">
        <v>1.329</v>
      </c>
      <c r="D686" s="43" t="s">
        <v>621</v>
      </c>
      <c r="E686" s="43" t="s">
        <v>743</v>
      </c>
      <c r="F686" s="43">
        <v>2.0872093050000002E-4</v>
      </c>
      <c r="G686" s="43">
        <v>1.0449196630000001E-2</v>
      </c>
      <c r="H686" s="43">
        <v>28.610500000000002</v>
      </c>
      <c r="I686" s="43" t="s">
        <v>605</v>
      </c>
      <c r="J686" s="22">
        <f t="shared" si="15"/>
        <v>1.6543215513624922E-5</v>
      </c>
      <c r="K686" s="22"/>
    </row>
    <row r="687" spans="1:11" x14ac:dyDescent="0.15">
      <c r="A687" s="43" t="s">
        <v>603</v>
      </c>
      <c r="B687" s="43" t="s">
        <v>925</v>
      </c>
      <c r="C687" s="43">
        <v>1.329</v>
      </c>
      <c r="D687" s="43" t="s">
        <v>622</v>
      </c>
      <c r="E687" s="43" t="s">
        <v>743</v>
      </c>
      <c r="F687" s="43">
        <v>2.2215116275000001E-3</v>
      </c>
      <c r="G687" s="43">
        <v>1.0842932584999999E-2</v>
      </c>
      <c r="H687" s="43">
        <v>27.632450000000002</v>
      </c>
      <c r="I687" s="43" t="s">
        <v>605</v>
      </c>
      <c r="J687" s="22">
        <f t="shared" si="15"/>
        <v>1.712382538413909E-4</v>
      </c>
      <c r="K687" s="22"/>
    </row>
    <row r="688" spans="1:11" x14ac:dyDescent="0.15">
      <c r="A688" s="43" t="s">
        <v>603</v>
      </c>
      <c r="B688" s="43" t="s">
        <v>925</v>
      </c>
      <c r="C688" s="43">
        <v>1.329</v>
      </c>
      <c r="D688" s="43" t="s">
        <v>623</v>
      </c>
      <c r="E688" s="43" t="s">
        <v>743</v>
      </c>
      <c r="F688" s="43">
        <v>5.4651163000000002E-5</v>
      </c>
      <c r="G688" s="43">
        <v>3.3705955049999998E-3</v>
      </c>
      <c r="H688" s="43">
        <v>0</v>
      </c>
      <c r="I688" s="43" t="s">
        <v>605</v>
      </c>
      <c r="J688" s="22">
        <f t="shared" si="15"/>
        <v>1.5296318074036067E-5</v>
      </c>
      <c r="K688" s="22"/>
    </row>
    <row r="689" spans="1:11" x14ac:dyDescent="0.15">
      <c r="A689" s="43" t="s">
        <v>603</v>
      </c>
      <c r="B689" s="43" t="s">
        <v>925</v>
      </c>
      <c r="C689" s="43">
        <v>1.329</v>
      </c>
      <c r="D689" s="43" t="s">
        <v>624</v>
      </c>
      <c r="E689" s="43" t="s">
        <v>743</v>
      </c>
      <c r="F689" s="43">
        <v>6.9534883749999994E-4</v>
      </c>
      <c r="G689" s="43">
        <v>1.1179651685E-2</v>
      </c>
      <c r="H689" s="43">
        <v>17.964950000000002</v>
      </c>
      <c r="I689" s="43" t="s">
        <v>605</v>
      </c>
      <c r="J689" s="22">
        <f t="shared" si="15"/>
        <v>5.581631403411201E-5</v>
      </c>
      <c r="K689" s="22"/>
    </row>
    <row r="690" spans="1:11" x14ac:dyDescent="0.15">
      <c r="A690" s="43" t="s">
        <v>603</v>
      </c>
      <c r="B690" s="43" t="s">
        <v>925</v>
      </c>
      <c r="C690" s="43">
        <v>1.329</v>
      </c>
      <c r="D690" s="43" t="s">
        <v>625</v>
      </c>
      <c r="E690" s="43" t="s">
        <v>743</v>
      </c>
      <c r="F690" s="43">
        <v>4.8430232550000004E-4</v>
      </c>
      <c r="G690" s="43">
        <v>8.8204213499999996E-3</v>
      </c>
      <c r="H690" s="43">
        <v>17.0107</v>
      </c>
      <c r="I690" s="43" t="s">
        <v>605</v>
      </c>
      <c r="J690" s="22">
        <f t="shared" si="15"/>
        <v>4.9532798859707239E-5</v>
      </c>
      <c r="K690" s="22"/>
    </row>
    <row r="691" spans="1:11" x14ac:dyDescent="0.15">
      <c r="A691" s="43" t="s">
        <v>603</v>
      </c>
      <c r="B691" s="43" t="s">
        <v>925</v>
      </c>
      <c r="C691" s="43">
        <v>1.329</v>
      </c>
      <c r="D691" s="43" t="s">
        <v>626</v>
      </c>
      <c r="E691" s="43" t="s">
        <v>743</v>
      </c>
      <c r="F691" s="43">
        <v>1.6395348849999999E-4</v>
      </c>
      <c r="G691" s="43">
        <v>8.6518033700000007E-3</v>
      </c>
      <c r="H691" s="43">
        <v>0</v>
      </c>
      <c r="I691" s="43" t="s">
        <v>605</v>
      </c>
      <c r="J691" s="22">
        <f t="shared" si="15"/>
        <v>1.7877556359500406E-5</v>
      </c>
      <c r="K691" s="22"/>
    </row>
    <row r="692" spans="1:11" x14ac:dyDescent="0.15">
      <c r="A692" s="43" t="s">
        <v>603</v>
      </c>
      <c r="B692" s="43" t="s">
        <v>925</v>
      </c>
      <c r="C692" s="43">
        <v>1.329</v>
      </c>
      <c r="D692" s="43" t="s">
        <v>627</v>
      </c>
      <c r="E692" s="43" t="s">
        <v>743</v>
      </c>
      <c r="F692" s="43">
        <v>2.3953488350000001E-4</v>
      </c>
      <c r="G692" s="43">
        <v>8.0901292150000002E-3</v>
      </c>
      <c r="H692" s="43">
        <v>14.0055</v>
      </c>
      <c r="I692" s="43" t="s">
        <v>605</v>
      </c>
      <c r="J692" s="22">
        <f t="shared" si="15"/>
        <v>2.7101989166879266E-5</v>
      </c>
      <c r="K692" s="22"/>
    </row>
    <row r="693" spans="1:11" x14ac:dyDescent="0.15">
      <c r="A693" s="43" t="s">
        <v>603</v>
      </c>
      <c r="B693" s="43" t="s">
        <v>925</v>
      </c>
      <c r="C693" s="43">
        <v>1.329</v>
      </c>
      <c r="D693" s="43" t="s">
        <v>628</v>
      </c>
      <c r="E693" s="43" t="s">
        <v>743</v>
      </c>
      <c r="F693" s="43">
        <v>1.2790697650000001E-4</v>
      </c>
      <c r="G693" s="43">
        <v>4.7192921349999998E-3</v>
      </c>
      <c r="H693" s="43">
        <v>0</v>
      </c>
      <c r="I693" s="43" t="s">
        <v>605</v>
      </c>
      <c r="J693" s="22">
        <f t="shared" si="15"/>
        <v>2.5568868277374431E-5</v>
      </c>
      <c r="K693" s="22"/>
    </row>
    <row r="694" spans="1:11" x14ac:dyDescent="0.15">
      <c r="A694" s="43" t="s">
        <v>603</v>
      </c>
      <c r="B694" s="43" t="s">
        <v>925</v>
      </c>
      <c r="C694" s="43">
        <v>1.329</v>
      </c>
      <c r="D694" s="43" t="s">
        <v>629</v>
      </c>
      <c r="E694" s="43" t="s">
        <v>743</v>
      </c>
      <c r="F694" s="43">
        <v>1.1744186049999999E-4</v>
      </c>
      <c r="G694" s="43">
        <v>5.6178932600000004E-3</v>
      </c>
      <c r="H694" s="43">
        <v>0</v>
      </c>
      <c r="I694" s="43" t="s">
        <v>605</v>
      </c>
      <c r="J694" s="22">
        <f t="shared" si="15"/>
        <v>1.9721664846809123E-5</v>
      </c>
      <c r="K694" s="22"/>
    </row>
    <row r="695" spans="1:11" x14ac:dyDescent="0.15">
      <c r="A695" s="44" t="s">
        <v>297</v>
      </c>
      <c r="B695" s="44" t="s">
        <v>925</v>
      </c>
      <c r="C695" s="44">
        <v>2160</v>
      </c>
      <c r="D695" s="44" t="s">
        <v>630</v>
      </c>
      <c r="E695" s="44" t="s">
        <v>742</v>
      </c>
      <c r="F695" s="44">
        <v>1.8815</v>
      </c>
      <c r="G695" s="44">
        <v>0.52800000000000002</v>
      </c>
      <c r="H695" s="44">
        <v>0</v>
      </c>
      <c r="I695" s="44" t="s">
        <v>298</v>
      </c>
      <c r="J695" s="22">
        <f t="shared" si="15"/>
        <v>3.3617424242424238E-3</v>
      </c>
      <c r="K695" s="22"/>
    </row>
    <row r="696" spans="1:11" x14ac:dyDescent="0.15">
      <c r="A696" s="44" t="s">
        <v>297</v>
      </c>
      <c r="B696" s="44" t="s">
        <v>925</v>
      </c>
      <c r="C696" s="44">
        <v>2160</v>
      </c>
      <c r="D696" s="44" t="s">
        <v>631</v>
      </c>
      <c r="E696" s="44" t="s">
        <v>742</v>
      </c>
      <c r="F696" s="44">
        <v>3.0803600000000002</v>
      </c>
      <c r="G696" s="44">
        <v>0.29100000000000004</v>
      </c>
      <c r="H696" s="44">
        <v>0</v>
      </c>
      <c r="I696" s="44" t="s">
        <v>298</v>
      </c>
      <c r="J696" s="22">
        <f t="shared" si="15"/>
        <v>9.9862542955326452E-3</v>
      </c>
      <c r="K696" s="22"/>
    </row>
    <row r="697" spans="1:11" x14ac:dyDescent="0.15">
      <c r="A697" s="44" t="s">
        <v>297</v>
      </c>
      <c r="B697" s="44" t="s">
        <v>925</v>
      </c>
      <c r="C697" s="44">
        <v>2160</v>
      </c>
      <c r="D697" s="44" t="s">
        <v>632</v>
      </c>
      <c r="E697" s="44" t="s">
        <v>742</v>
      </c>
      <c r="F697" s="44">
        <v>2.0935000000000001</v>
      </c>
      <c r="G697" s="44">
        <v>0.31900000000000001</v>
      </c>
      <c r="H697" s="44">
        <v>0</v>
      </c>
      <c r="I697" s="44" t="s">
        <v>298</v>
      </c>
      <c r="J697" s="22">
        <f t="shared" si="15"/>
        <v>6.1912225705329157E-3</v>
      </c>
      <c r="K697" s="22"/>
    </row>
    <row r="698" spans="1:11" x14ac:dyDescent="0.15">
      <c r="A698" s="44" t="s">
        <v>297</v>
      </c>
      <c r="B698" s="44" t="s">
        <v>925</v>
      </c>
      <c r="C698" s="44">
        <v>2160</v>
      </c>
      <c r="D698" s="44" t="s">
        <v>633</v>
      </c>
      <c r="E698" s="44" t="s">
        <v>742</v>
      </c>
      <c r="F698" s="44">
        <v>7.3394400000000006</v>
      </c>
      <c r="G698" s="44">
        <v>0.373</v>
      </c>
      <c r="H698" s="44">
        <v>0</v>
      </c>
      <c r="I698" s="44" t="s">
        <v>298</v>
      </c>
      <c r="J698" s="22">
        <f t="shared" si="15"/>
        <v>1.8563002680965151E-2</v>
      </c>
      <c r="K698" s="22"/>
    </row>
    <row r="699" spans="1:11" x14ac:dyDescent="0.15">
      <c r="A699" s="44" t="s">
        <v>297</v>
      </c>
      <c r="B699" s="44" t="s">
        <v>925</v>
      </c>
      <c r="C699" s="44">
        <v>2160</v>
      </c>
      <c r="D699" s="44" t="s">
        <v>480</v>
      </c>
      <c r="E699" s="44" t="s">
        <v>742</v>
      </c>
      <c r="F699" s="44">
        <v>7.7666200000000005</v>
      </c>
      <c r="G699" s="44">
        <v>0.13200000000000001</v>
      </c>
      <c r="H699" s="44">
        <v>21</v>
      </c>
      <c r="I699" s="44" t="s">
        <v>298</v>
      </c>
      <c r="J699" s="22">
        <f t="shared" si="15"/>
        <v>5.1820786249583313E-2</v>
      </c>
      <c r="K699" s="22"/>
    </row>
    <row r="700" spans="1:11" x14ac:dyDescent="0.15">
      <c r="A700" s="44" t="s">
        <v>297</v>
      </c>
      <c r="B700" s="44" t="s">
        <v>925</v>
      </c>
      <c r="C700" s="44">
        <v>2160</v>
      </c>
      <c r="D700" s="44" t="s">
        <v>578</v>
      </c>
      <c r="E700" s="44" t="s">
        <v>742</v>
      </c>
      <c r="F700" s="44">
        <v>2.5100799999999999</v>
      </c>
      <c r="G700" s="44">
        <v>7.2000000000000008E-2</v>
      </c>
      <c r="H700" s="44">
        <v>34</v>
      </c>
      <c r="I700" s="44" t="s">
        <v>298</v>
      </c>
      <c r="J700" s="22">
        <f t="shared" si="15"/>
        <v>2.7266124608476921E-2</v>
      </c>
      <c r="K700" s="22"/>
    </row>
    <row r="701" spans="1:11" x14ac:dyDescent="0.15">
      <c r="A701" s="44" t="s">
        <v>297</v>
      </c>
      <c r="B701" s="44" t="s">
        <v>925</v>
      </c>
      <c r="C701" s="44">
        <v>2160</v>
      </c>
      <c r="D701" s="44" t="s">
        <v>579</v>
      </c>
      <c r="E701" s="44" t="s">
        <v>742</v>
      </c>
      <c r="F701" s="44">
        <v>3.3909400000000001</v>
      </c>
      <c r="G701" s="44">
        <v>7.2999999999999995E-2</v>
      </c>
      <c r="H701" s="44">
        <v>30</v>
      </c>
      <c r="I701" s="44" t="s">
        <v>298</v>
      </c>
      <c r="J701" s="22">
        <f t="shared" si="15"/>
        <v>3.7950894064471503E-2</v>
      </c>
      <c r="K701" s="22"/>
    </row>
    <row r="702" spans="1:11" x14ac:dyDescent="0.15">
      <c r="A702" s="44" t="s">
        <v>297</v>
      </c>
      <c r="B702" s="44" t="s">
        <v>925</v>
      </c>
      <c r="C702" s="44">
        <v>2160</v>
      </c>
      <c r="D702" s="44" t="s">
        <v>484</v>
      </c>
      <c r="E702" s="44" t="s">
        <v>742</v>
      </c>
      <c r="F702" s="44">
        <v>1.5317000000000001</v>
      </c>
      <c r="G702" s="44">
        <v>7.2999999999999995E-2</v>
      </c>
      <c r="H702" s="44">
        <v>33</v>
      </c>
      <c r="I702" s="44" t="s">
        <v>298</v>
      </c>
      <c r="J702" s="22">
        <f t="shared" si="15"/>
        <v>1.6601081790152572E-2</v>
      </c>
      <c r="K702" s="22"/>
    </row>
    <row r="703" spans="1:11" x14ac:dyDescent="0.15">
      <c r="A703" s="44" t="s">
        <v>297</v>
      </c>
      <c r="B703" s="44" t="s">
        <v>925</v>
      </c>
      <c r="C703" s="44">
        <v>2160</v>
      </c>
      <c r="D703" s="44" t="s">
        <v>634</v>
      </c>
      <c r="E703" s="44" t="s">
        <v>742</v>
      </c>
      <c r="F703" s="44">
        <v>0.65084000000000009</v>
      </c>
      <c r="G703" s="44">
        <v>7.2999999999999995E-2</v>
      </c>
      <c r="H703" s="44">
        <v>19</v>
      </c>
      <c r="I703" s="44" t="s">
        <v>298</v>
      </c>
      <c r="J703" s="22">
        <f t="shared" si="15"/>
        <v>7.9527178824380911E-3</v>
      </c>
      <c r="K703" s="22"/>
    </row>
    <row r="704" spans="1:11" x14ac:dyDescent="0.15">
      <c r="A704" s="44" t="s">
        <v>297</v>
      </c>
      <c r="B704" s="44" t="s">
        <v>925</v>
      </c>
      <c r="C704" s="44">
        <v>2160</v>
      </c>
      <c r="D704" s="44" t="s">
        <v>635</v>
      </c>
      <c r="E704" s="44" t="s">
        <v>742</v>
      </c>
      <c r="F704" s="44">
        <v>1.7500600000000002</v>
      </c>
      <c r="G704" s="44">
        <v>0.17399999999999999</v>
      </c>
      <c r="H704" s="44">
        <v>31</v>
      </c>
      <c r="I704" s="44" t="s">
        <v>298</v>
      </c>
      <c r="J704" s="22">
        <f t="shared" si="15"/>
        <v>8.1332368589608489E-3</v>
      </c>
      <c r="K704" s="22"/>
    </row>
    <row r="705" spans="1:11" x14ac:dyDescent="0.15">
      <c r="A705" s="44" t="s">
        <v>297</v>
      </c>
      <c r="B705" s="44" t="s">
        <v>925</v>
      </c>
      <c r="C705" s="44">
        <v>2160</v>
      </c>
      <c r="D705" s="44" t="s">
        <v>482</v>
      </c>
      <c r="E705" s="44" t="s">
        <v>742</v>
      </c>
      <c r="F705" s="44">
        <v>0.57134000000000007</v>
      </c>
      <c r="G705" s="44">
        <v>0.46</v>
      </c>
      <c r="H705" s="44">
        <v>0</v>
      </c>
      <c r="I705" s="44" t="s">
        <v>298</v>
      </c>
      <c r="J705" s="22">
        <f t="shared" si="15"/>
        <v>1.1717391304347827E-3</v>
      </c>
      <c r="K705" s="22"/>
    </row>
    <row r="706" spans="1:11" x14ac:dyDescent="0.15">
      <c r="A706" s="44" t="s">
        <v>297</v>
      </c>
      <c r="B706" s="44" t="s">
        <v>925</v>
      </c>
      <c r="C706" s="44">
        <v>2160</v>
      </c>
      <c r="D706" s="44" t="s">
        <v>583</v>
      </c>
      <c r="E706" s="44" t="s">
        <v>742</v>
      </c>
      <c r="F706" s="44">
        <v>1.52322</v>
      </c>
      <c r="G706" s="44">
        <v>0.215</v>
      </c>
      <c r="H706" s="44">
        <v>0</v>
      </c>
      <c r="I706" s="44" t="s">
        <v>298</v>
      </c>
      <c r="J706" s="22">
        <f t="shared" si="15"/>
        <v>6.6837209302325583E-3</v>
      </c>
      <c r="K706" s="22"/>
    </row>
    <row r="707" spans="1:11" x14ac:dyDescent="0.15">
      <c r="A707" s="44" t="s">
        <v>297</v>
      </c>
      <c r="B707" s="44" t="s">
        <v>925</v>
      </c>
      <c r="C707" s="44">
        <v>2160</v>
      </c>
      <c r="D707" s="44" t="s">
        <v>636</v>
      </c>
      <c r="E707" s="44" t="s">
        <v>742</v>
      </c>
      <c r="F707" s="44">
        <v>2.0341400000000003</v>
      </c>
      <c r="G707" s="44">
        <v>6.4000000000000001E-2</v>
      </c>
      <c r="H707" s="44">
        <v>26</v>
      </c>
      <c r="I707" s="44" t="s">
        <v>298</v>
      </c>
      <c r="J707" s="22">
        <f t="shared" si="15"/>
        <v>2.6949777732001589E-2</v>
      </c>
      <c r="K707" s="22"/>
    </row>
    <row r="708" spans="1:11" x14ac:dyDescent="0.15">
      <c r="A708" s="44" t="s">
        <v>297</v>
      </c>
      <c r="B708" s="44" t="s">
        <v>925</v>
      </c>
      <c r="C708" s="44">
        <v>2160</v>
      </c>
      <c r="D708" s="44" t="s">
        <v>588</v>
      </c>
      <c r="E708" s="44" t="s">
        <v>742</v>
      </c>
      <c r="F708" s="44">
        <v>0.31694</v>
      </c>
      <c r="G708" s="44">
        <v>8.199999999999999E-2</v>
      </c>
      <c r="H708" s="44">
        <v>0</v>
      </c>
      <c r="I708" s="44" t="s">
        <v>298</v>
      </c>
      <c r="J708" s="22">
        <f t="shared" si="15"/>
        <v>3.6463414634146348E-3</v>
      </c>
      <c r="K708" s="22"/>
    </row>
    <row r="709" spans="1:11" x14ac:dyDescent="0.15">
      <c r="A709" s="44" t="s">
        <v>297</v>
      </c>
      <c r="B709" s="44" t="s">
        <v>925</v>
      </c>
      <c r="C709" s="44">
        <v>2160</v>
      </c>
      <c r="D709" s="44" t="s">
        <v>637</v>
      </c>
      <c r="E709" s="44" t="s">
        <v>742</v>
      </c>
      <c r="F709" s="44">
        <v>14.77216</v>
      </c>
      <c r="G709" s="44">
        <v>0.29100000000000004</v>
      </c>
      <c r="H709" s="44">
        <v>0</v>
      </c>
      <c r="I709" s="44" t="s">
        <v>298</v>
      </c>
      <c r="J709" s="22">
        <f t="shared" si="15"/>
        <v>4.7890034364261161E-2</v>
      </c>
      <c r="K709" s="22"/>
    </row>
    <row r="710" spans="1:11" x14ac:dyDescent="0.15">
      <c r="A710" s="44" t="s">
        <v>297</v>
      </c>
      <c r="B710" s="44" t="s">
        <v>925</v>
      </c>
      <c r="C710" s="44">
        <v>2160</v>
      </c>
      <c r="D710" s="44" t="s">
        <v>638</v>
      </c>
      <c r="E710" s="44" t="s">
        <v>742</v>
      </c>
      <c r="F710" s="44">
        <v>2.76342</v>
      </c>
      <c r="G710" s="44">
        <v>0.23300000000000001</v>
      </c>
      <c r="H710" s="44">
        <v>0</v>
      </c>
      <c r="I710" s="44" t="s">
        <v>298</v>
      </c>
      <c r="J710" s="22">
        <f t="shared" si="15"/>
        <v>1.1188841201716737E-2</v>
      </c>
      <c r="K710" s="22"/>
    </row>
    <row r="711" spans="1:11" x14ac:dyDescent="0.15">
      <c r="A711" s="44" t="s">
        <v>297</v>
      </c>
      <c r="B711" s="44" t="s">
        <v>925</v>
      </c>
      <c r="C711" s="44">
        <v>2160</v>
      </c>
      <c r="D711" s="44" t="s">
        <v>639</v>
      </c>
      <c r="E711" s="44" t="s">
        <v>742</v>
      </c>
      <c r="F711" s="44">
        <v>0.77168000000000003</v>
      </c>
      <c r="G711" s="44">
        <v>0.15</v>
      </c>
      <c r="H711" s="44">
        <v>0</v>
      </c>
      <c r="I711" s="44" t="s">
        <v>298</v>
      </c>
      <c r="J711" s="22">
        <f t="shared" si="15"/>
        <v>4.8533333333333336E-3</v>
      </c>
      <c r="K711" s="22"/>
    </row>
    <row r="712" spans="1:11" x14ac:dyDescent="0.15">
      <c r="A712" s="44" t="s">
        <v>297</v>
      </c>
      <c r="B712" s="44" t="s">
        <v>925</v>
      </c>
      <c r="C712" s="44">
        <v>2160</v>
      </c>
      <c r="D712" s="44" t="s">
        <v>640</v>
      </c>
      <c r="E712" s="44" t="s">
        <v>742</v>
      </c>
      <c r="F712" s="44">
        <v>1.1659999999999999</v>
      </c>
      <c r="G712" s="44">
        <v>0.109</v>
      </c>
      <c r="H712" s="44">
        <v>34</v>
      </c>
      <c r="I712" s="44" t="s">
        <v>298</v>
      </c>
      <c r="J712" s="22">
        <f t="shared" si="15"/>
        <v>8.3664342184453736E-3</v>
      </c>
      <c r="K712" s="22"/>
    </row>
    <row r="713" spans="1:11" x14ac:dyDescent="0.15">
      <c r="A713" s="44" t="s">
        <v>297</v>
      </c>
      <c r="B713" s="44" t="s">
        <v>925</v>
      </c>
      <c r="C713" s="44">
        <v>2160</v>
      </c>
      <c r="D713" s="44" t="s">
        <v>596</v>
      </c>
      <c r="E713" s="44" t="s">
        <v>743</v>
      </c>
      <c r="F713" s="44">
        <v>0.12084</v>
      </c>
      <c r="G713" s="44">
        <v>0.39200000000000002</v>
      </c>
      <c r="H713" s="44">
        <v>0</v>
      </c>
      <c r="I713" s="44" t="s">
        <v>298</v>
      </c>
      <c r="J713" s="22">
        <f t="shared" si="15"/>
        <v>2.9081632653061223E-4</v>
      </c>
      <c r="K713" s="22"/>
    </row>
    <row r="714" spans="1:11" x14ac:dyDescent="0.15">
      <c r="A714" s="44" t="s">
        <v>297</v>
      </c>
      <c r="B714" s="44" t="s">
        <v>925</v>
      </c>
      <c r="C714" s="44">
        <v>2160</v>
      </c>
      <c r="D714" s="44" t="s">
        <v>496</v>
      </c>
      <c r="E714" s="44" t="s">
        <v>743</v>
      </c>
      <c r="F714" s="44">
        <v>2.4645000000000001</v>
      </c>
      <c r="G714" s="44">
        <v>0.23300000000000001</v>
      </c>
      <c r="H714" s="44">
        <v>18</v>
      </c>
      <c r="I714" s="44" t="s">
        <v>298</v>
      </c>
      <c r="J714" s="22">
        <f t="shared" si="15"/>
        <v>9.4901562248336131E-3</v>
      </c>
      <c r="K714" s="22"/>
    </row>
    <row r="715" spans="1:11" x14ac:dyDescent="0.15">
      <c r="A715" s="44" t="s">
        <v>297</v>
      </c>
      <c r="B715" s="44" t="s">
        <v>925</v>
      </c>
      <c r="C715" s="44">
        <v>2160</v>
      </c>
      <c r="D715" s="44" t="s">
        <v>641</v>
      </c>
      <c r="E715" s="44" t="s">
        <v>743</v>
      </c>
      <c r="F715" s="44">
        <v>1.5030800000000002</v>
      </c>
      <c r="G715" s="44">
        <v>4.4999999999999998E-2</v>
      </c>
      <c r="H715" s="44">
        <v>29</v>
      </c>
      <c r="I715" s="44" t="s">
        <v>298</v>
      </c>
      <c r="J715" s="22">
        <f t="shared" si="15"/>
        <v>2.7560238771636963E-2</v>
      </c>
      <c r="K715" s="22"/>
    </row>
    <row r="716" spans="1:11" x14ac:dyDescent="0.15">
      <c r="A716" s="44" t="s">
        <v>297</v>
      </c>
      <c r="B716" s="44" t="s">
        <v>925</v>
      </c>
      <c r="C716" s="44">
        <v>2160</v>
      </c>
      <c r="D716" s="44" t="s">
        <v>642</v>
      </c>
      <c r="E716" s="44" t="s">
        <v>743</v>
      </c>
      <c r="F716" s="44">
        <v>2.7560000000000001E-2</v>
      </c>
      <c r="G716" s="44">
        <v>0.1</v>
      </c>
      <c r="H716" s="44">
        <v>17</v>
      </c>
      <c r="I716" s="44" t="s">
        <v>298</v>
      </c>
      <c r="J716" s="22">
        <f t="shared" si="15"/>
        <v>2.4863923655038924E-4</v>
      </c>
      <c r="K716" s="22"/>
    </row>
    <row r="717" spans="1:11" x14ac:dyDescent="0.15">
      <c r="A717" s="44" t="s">
        <v>297</v>
      </c>
      <c r="B717" s="44" t="s">
        <v>925</v>
      </c>
      <c r="C717" s="44">
        <v>2160</v>
      </c>
      <c r="D717" s="44" t="s">
        <v>643</v>
      </c>
      <c r="E717" s="44" t="s">
        <v>743</v>
      </c>
      <c r="F717" s="44">
        <v>1.0260800000000001</v>
      </c>
      <c r="G717" s="44">
        <v>0.14899999999999999</v>
      </c>
      <c r="H717" s="44">
        <v>14</v>
      </c>
      <c r="I717" s="44" t="s">
        <v>298</v>
      </c>
      <c r="J717" s="22">
        <f t="shared" si="15"/>
        <v>6.3036661948668773E-3</v>
      </c>
      <c r="K717" s="22"/>
    </row>
    <row r="718" spans="1:11" x14ac:dyDescent="0.15">
      <c r="A718" s="44" t="s">
        <v>297</v>
      </c>
      <c r="B718" s="44" t="s">
        <v>925</v>
      </c>
      <c r="C718" s="44">
        <v>2160</v>
      </c>
      <c r="D718" s="44" t="s">
        <v>644</v>
      </c>
      <c r="E718" s="44" t="s">
        <v>743</v>
      </c>
      <c r="F718" s="44">
        <v>0.56074000000000002</v>
      </c>
      <c r="G718" s="44">
        <v>0.1</v>
      </c>
      <c r="H718" s="44">
        <v>0</v>
      </c>
      <c r="I718" s="44" t="s">
        <v>298</v>
      </c>
      <c r="J718" s="22">
        <f t="shared" si="15"/>
        <v>5.2900000000000004E-3</v>
      </c>
      <c r="K718" s="22"/>
    </row>
    <row r="719" spans="1:11" x14ac:dyDescent="0.15">
      <c r="A719" s="44" t="s">
        <v>297</v>
      </c>
      <c r="B719" s="44" t="s">
        <v>925</v>
      </c>
      <c r="C719" s="44">
        <v>2160</v>
      </c>
      <c r="D719" s="44" t="s">
        <v>645</v>
      </c>
      <c r="E719" s="44" t="s">
        <v>743</v>
      </c>
      <c r="F719" s="44">
        <v>0.48124</v>
      </c>
      <c r="G719" s="44">
        <v>0.23899999999999999</v>
      </c>
      <c r="H719" s="44">
        <v>0</v>
      </c>
      <c r="I719" s="44" t="s">
        <v>298</v>
      </c>
      <c r="J719" s="22">
        <f t="shared" si="15"/>
        <v>1.8995815899581589E-3</v>
      </c>
      <c r="K719" s="22"/>
    </row>
    <row r="720" spans="1:11" x14ac:dyDescent="0.15">
      <c r="A720" s="44" t="s">
        <v>297</v>
      </c>
      <c r="B720" s="44" t="s">
        <v>925</v>
      </c>
      <c r="C720" s="44">
        <v>2160</v>
      </c>
      <c r="D720" s="44" t="s">
        <v>646</v>
      </c>
      <c r="E720" s="44" t="s">
        <v>743</v>
      </c>
      <c r="F720" s="44">
        <v>0.19928000000000001</v>
      </c>
      <c r="G720" s="44">
        <v>0.02</v>
      </c>
      <c r="H720" s="44">
        <v>31</v>
      </c>
      <c r="I720" s="44" t="s">
        <v>298</v>
      </c>
      <c r="J720" s="22">
        <f t="shared" si="15"/>
        <v>8.0573726265998572E-3</v>
      </c>
      <c r="K720" s="22"/>
    </row>
    <row r="721" spans="1:11" x14ac:dyDescent="0.15">
      <c r="A721" s="44" t="s">
        <v>297</v>
      </c>
      <c r="B721" s="44" t="s">
        <v>925</v>
      </c>
      <c r="C721" s="44">
        <v>2160</v>
      </c>
      <c r="D721" s="44" t="s">
        <v>329</v>
      </c>
      <c r="E721" s="44" t="s">
        <v>743</v>
      </c>
      <c r="F721" s="44">
        <v>0.42612</v>
      </c>
      <c r="G721" s="44">
        <v>3.9E-2</v>
      </c>
      <c r="H721" s="44">
        <v>29</v>
      </c>
      <c r="I721" s="44" t="s">
        <v>298</v>
      </c>
      <c r="J721" s="22">
        <f t="shared" si="15"/>
        <v>9.0153108274368485E-3</v>
      </c>
      <c r="K721" s="22"/>
    </row>
    <row r="722" spans="1:11" x14ac:dyDescent="0.15">
      <c r="A722" s="44" t="s">
        <v>297</v>
      </c>
      <c r="B722" s="44" t="s">
        <v>925</v>
      </c>
      <c r="C722" s="44">
        <v>2160</v>
      </c>
      <c r="D722" s="44" t="s">
        <v>647</v>
      </c>
      <c r="E722" s="44" t="s">
        <v>743</v>
      </c>
      <c r="F722" s="44">
        <v>0.90524000000000004</v>
      </c>
      <c r="G722" s="44">
        <v>4.4999999999999998E-2</v>
      </c>
      <c r="H722" s="44">
        <v>40</v>
      </c>
      <c r="I722" s="44" t="s">
        <v>298</v>
      </c>
      <c r="J722" s="22">
        <f t="shared" si="15"/>
        <v>1.4537821209413496E-2</v>
      </c>
      <c r="K722" s="22"/>
    </row>
    <row r="723" spans="1:11" x14ac:dyDescent="0.15">
      <c r="A723" s="44" t="s">
        <v>297</v>
      </c>
      <c r="B723" s="44" t="s">
        <v>925</v>
      </c>
      <c r="C723" s="44">
        <v>2160</v>
      </c>
      <c r="D723" s="44" t="s">
        <v>648</v>
      </c>
      <c r="E723" s="44" t="s">
        <v>743</v>
      </c>
      <c r="F723" s="44">
        <v>0.29043999999999998</v>
      </c>
      <c r="G723" s="44">
        <v>0.32600000000000001</v>
      </c>
      <c r="H723" s="44">
        <v>0</v>
      </c>
      <c r="I723" s="44" t="s">
        <v>298</v>
      </c>
      <c r="J723" s="22">
        <f t="shared" si="15"/>
        <v>8.4049079754601225E-4</v>
      </c>
      <c r="K723" s="22"/>
    </row>
    <row r="724" spans="1:11" x14ac:dyDescent="0.15">
      <c r="A724" s="43" t="s">
        <v>335</v>
      </c>
      <c r="B724" s="43" t="s">
        <v>925</v>
      </c>
      <c r="C724" s="43">
        <v>2065</v>
      </c>
      <c r="D724" s="43" t="s">
        <v>630</v>
      </c>
      <c r="E724" s="43" t="s">
        <v>742</v>
      </c>
      <c r="F724" s="43">
        <v>1.7967</v>
      </c>
      <c r="G724" s="43">
        <v>0.68799999999999994</v>
      </c>
      <c r="H724" s="43">
        <v>0</v>
      </c>
      <c r="I724" s="43" t="s">
        <v>298</v>
      </c>
      <c r="J724" s="22">
        <f t="shared" si="15"/>
        <v>2.4636627906976746E-3</v>
      </c>
      <c r="K724" s="22"/>
    </row>
    <row r="725" spans="1:11" x14ac:dyDescent="0.15">
      <c r="A725" s="43" t="s">
        <v>335</v>
      </c>
      <c r="B725" s="43" t="s">
        <v>925</v>
      </c>
      <c r="C725" s="43">
        <v>2065</v>
      </c>
      <c r="D725" s="43" t="s">
        <v>631</v>
      </c>
      <c r="E725" s="43" t="s">
        <v>742</v>
      </c>
      <c r="F725" s="43">
        <v>2.2524999999999999</v>
      </c>
      <c r="G725" s="43">
        <v>0.55200000000000005</v>
      </c>
      <c r="H725" s="43">
        <v>0</v>
      </c>
      <c r="I725" s="43" t="s">
        <v>298</v>
      </c>
      <c r="J725" s="22">
        <f t="shared" si="15"/>
        <v>3.84963768115942E-3</v>
      </c>
      <c r="K725" s="22"/>
    </row>
    <row r="726" spans="1:11" x14ac:dyDescent="0.15">
      <c r="A726" s="43" t="s">
        <v>335</v>
      </c>
      <c r="B726" s="43" t="s">
        <v>925</v>
      </c>
      <c r="C726" s="43">
        <v>2065</v>
      </c>
      <c r="D726" s="43" t="s">
        <v>632</v>
      </c>
      <c r="E726" s="43" t="s">
        <v>742</v>
      </c>
      <c r="F726" s="43">
        <v>4.3046600000000002</v>
      </c>
      <c r="G726" s="43">
        <v>0.22600000000000001</v>
      </c>
      <c r="H726" s="43">
        <v>0</v>
      </c>
      <c r="I726" s="43" t="s">
        <v>298</v>
      </c>
      <c r="J726" s="22">
        <f t="shared" si="15"/>
        <v>1.7969026548672568E-2</v>
      </c>
      <c r="K726" s="22"/>
    </row>
    <row r="727" spans="1:11" x14ac:dyDescent="0.15">
      <c r="A727" s="43" t="s">
        <v>335</v>
      </c>
      <c r="B727" s="43" t="s">
        <v>925</v>
      </c>
      <c r="C727" s="43">
        <v>2065</v>
      </c>
      <c r="D727" s="43" t="s">
        <v>633</v>
      </c>
      <c r="E727" s="43" t="s">
        <v>742</v>
      </c>
      <c r="F727" s="43">
        <v>5.4759599999999997</v>
      </c>
      <c r="G727" s="43">
        <v>0.307</v>
      </c>
      <c r="H727" s="43">
        <v>9</v>
      </c>
      <c r="I727" s="43" t="s">
        <v>298</v>
      </c>
      <c r="J727" s="22">
        <f t="shared" si="15"/>
        <v>1.6620188819265413E-2</v>
      </c>
      <c r="K727" s="22"/>
    </row>
    <row r="728" spans="1:11" x14ac:dyDescent="0.15">
      <c r="A728" s="43" t="s">
        <v>335</v>
      </c>
      <c r="B728" s="43" t="s">
        <v>925</v>
      </c>
      <c r="C728" s="43">
        <v>2065</v>
      </c>
      <c r="D728" s="43" t="s">
        <v>480</v>
      </c>
      <c r="E728" s="43" t="s">
        <v>742</v>
      </c>
      <c r="F728" s="43">
        <v>8.0729600000000001</v>
      </c>
      <c r="G728" s="43">
        <v>0.30199999999999999</v>
      </c>
      <c r="H728" s="43">
        <v>10</v>
      </c>
      <c r="I728" s="43" t="s">
        <v>298</v>
      </c>
      <c r="J728" s="22">
        <f t="shared" si="15"/>
        <v>2.4835416711725088E-2</v>
      </c>
      <c r="K728" s="22"/>
    </row>
    <row r="729" spans="1:11" x14ac:dyDescent="0.15">
      <c r="A729" s="43" t="s">
        <v>335</v>
      </c>
      <c r="B729" s="43" t="s">
        <v>925</v>
      </c>
      <c r="C729" s="43">
        <v>2065</v>
      </c>
      <c r="D729" s="43" t="s">
        <v>578</v>
      </c>
      <c r="E729" s="43" t="s">
        <v>742</v>
      </c>
      <c r="F729" s="43">
        <v>4.6364400000000003</v>
      </c>
      <c r="G729" s="43">
        <v>7.2000000000000008E-2</v>
      </c>
      <c r="H729" s="43">
        <v>33</v>
      </c>
      <c r="I729" s="43" t="s">
        <v>298</v>
      </c>
      <c r="J729" s="22">
        <f t="shared" si="15"/>
        <v>5.0949237002684514E-2</v>
      </c>
      <c r="K729" s="22"/>
    </row>
    <row r="730" spans="1:11" x14ac:dyDescent="0.15">
      <c r="A730" s="43" t="s">
        <v>335</v>
      </c>
      <c r="B730" s="43" t="s">
        <v>925</v>
      </c>
      <c r="C730" s="43">
        <v>2065</v>
      </c>
      <c r="D730" s="43" t="s">
        <v>579</v>
      </c>
      <c r="E730" s="43" t="s">
        <v>742</v>
      </c>
      <c r="F730" s="43">
        <v>3.7714799999999999</v>
      </c>
      <c r="G730" s="43">
        <v>6.7000000000000004E-2</v>
      </c>
      <c r="H730" s="43">
        <v>40</v>
      </c>
      <c r="I730" s="43" t="s">
        <v>298</v>
      </c>
      <c r="J730" s="22">
        <f t="shared" si="15"/>
        <v>4.0680389979363032E-2</v>
      </c>
      <c r="K730" s="22"/>
    </row>
    <row r="731" spans="1:11" x14ac:dyDescent="0.15">
      <c r="A731" s="43" t="s">
        <v>335</v>
      </c>
      <c r="B731" s="43" t="s">
        <v>925</v>
      </c>
      <c r="C731" s="43">
        <v>2065</v>
      </c>
      <c r="D731" s="43" t="s">
        <v>484</v>
      </c>
      <c r="E731" s="43" t="s">
        <v>742</v>
      </c>
      <c r="F731" s="43">
        <v>2.4062000000000001</v>
      </c>
      <c r="G731" s="43">
        <v>7.0999999999999994E-2</v>
      </c>
      <c r="H731" s="43">
        <v>27</v>
      </c>
      <c r="I731" s="43" t="s">
        <v>298</v>
      </c>
      <c r="J731" s="22">
        <f t="shared" si="15"/>
        <v>2.848710999869853E-2</v>
      </c>
      <c r="K731" s="22"/>
    </row>
    <row r="732" spans="1:11" x14ac:dyDescent="0.15">
      <c r="A732" s="43" t="s">
        <v>335</v>
      </c>
      <c r="B732" s="43" t="s">
        <v>925</v>
      </c>
      <c r="C732" s="43">
        <v>2065</v>
      </c>
      <c r="D732" s="43" t="s">
        <v>634</v>
      </c>
      <c r="E732" s="43" t="s">
        <v>742</v>
      </c>
      <c r="F732" s="43">
        <v>1.04834</v>
      </c>
      <c r="G732" s="43">
        <v>0.10300000000000001</v>
      </c>
      <c r="H732" s="43">
        <v>26</v>
      </c>
      <c r="I732" s="43" t="s">
        <v>298</v>
      </c>
      <c r="J732" s="22">
        <f t="shared" si="15"/>
        <v>8.6301680756298658E-3</v>
      </c>
      <c r="K732" s="22"/>
    </row>
    <row r="733" spans="1:11" x14ac:dyDescent="0.15">
      <c r="A733" s="43" t="s">
        <v>335</v>
      </c>
      <c r="B733" s="43" t="s">
        <v>925</v>
      </c>
      <c r="C733" s="43">
        <v>2065</v>
      </c>
      <c r="D733" s="43" t="s">
        <v>635</v>
      </c>
      <c r="E733" s="43" t="s">
        <v>742</v>
      </c>
      <c r="F733" s="43">
        <v>1.8147200000000001</v>
      </c>
      <c r="G733" s="43">
        <v>0.16399999999999998</v>
      </c>
      <c r="H733" s="43">
        <v>28</v>
      </c>
      <c r="I733" s="43" t="s">
        <v>298</v>
      </c>
      <c r="J733" s="22">
        <f t="shared" si="15"/>
        <v>9.2171114571614841E-3</v>
      </c>
      <c r="K733" s="22"/>
    </row>
    <row r="734" spans="1:11" x14ac:dyDescent="0.15">
      <c r="A734" s="43" t="s">
        <v>335</v>
      </c>
      <c r="B734" s="43" t="s">
        <v>925</v>
      </c>
      <c r="C734" s="43">
        <v>2065</v>
      </c>
      <c r="D734" s="43" t="s">
        <v>482</v>
      </c>
      <c r="E734" s="43" t="s">
        <v>742</v>
      </c>
      <c r="F734" s="43">
        <v>2.3171600000000003</v>
      </c>
      <c r="G734" s="43">
        <v>0.17499999999999999</v>
      </c>
      <c r="H734" s="43">
        <v>28</v>
      </c>
      <c r="I734" s="43" t="s">
        <v>298</v>
      </c>
      <c r="J734" s="22">
        <f t="shared" ref="J734:J781" si="16">F734*COS(RADIANS(H734))/(1060*G734)</f>
        <v>1.1029276788512083E-2</v>
      </c>
      <c r="K734" s="22"/>
    </row>
    <row r="735" spans="1:11" x14ac:dyDescent="0.15">
      <c r="A735" s="43" t="s">
        <v>335</v>
      </c>
      <c r="B735" s="43" t="s">
        <v>925</v>
      </c>
      <c r="C735" s="43">
        <v>2065</v>
      </c>
      <c r="D735" s="43" t="s">
        <v>583</v>
      </c>
      <c r="E735" s="43" t="s">
        <v>742</v>
      </c>
      <c r="F735" s="43">
        <v>0.61692000000000002</v>
      </c>
      <c r="G735" s="43">
        <v>0.10199999999999999</v>
      </c>
      <c r="H735" s="43">
        <v>14</v>
      </c>
      <c r="I735" s="43" t="s">
        <v>298</v>
      </c>
      <c r="J735" s="22">
        <f t="shared" si="16"/>
        <v>5.5363932616924513E-3</v>
      </c>
      <c r="K735" s="22"/>
    </row>
    <row r="736" spans="1:11" x14ac:dyDescent="0.15">
      <c r="A736" s="43" t="s">
        <v>335</v>
      </c>
      <c r="B736" s="43" t="s">
        <v>925</v>
      </c>
      <c r="C736" s="43">
        <v>2065</v>
      </c>
      <c r="D736" s="43" t="s">
        <v>636</v>
      </c>
      <c r="E736" s="43" t="s">
        <v>742</v>
      </c>
      <c r="F736" s="43">
        <v>1.83274</v>
      </c>
      <c r="G736" s="43">
        <v>2.4E-2</v>
      </c>
      <c r="H736" s="43">
        <v>41</v>
      </c>
      <c r="I736" s="43" t="s">
        <v>298</v>
      </c>
      <c r="J736" s="22">
        <f t="shared" si="16"/>
        <v>5.4370536008548867E-2</v>
      </c>
      <c r="K736" s="22"/>
    </row>
    <row r="737" spans="1:11" x14ac:dyDescent="0.15">
      <c r="A737" s="43" t="s">
        <v>335</v>
      </c>
      <c r="B737" s="43" t="s">
        <v>925</v>
      </c>
      <c r="C737" s="43">
        <v>2065</v>
      </c>
      <c r="D737" s="43" t="s">
        <v>637</v>
      </c>
      <c r="E737" s="43" t="s">
        <v>742</v>
      </c>
      <c r="F737" s="43">
        <v>14.095880000000001</v>
      </c>
      <c r="G737" s="43">
        <v>0.38</v>
      </c>
      <c r="H737" s="43">
        <v>24</v>
      </c>
      <c r="I737" s="43" t="s">
        <v>298</v>
      </c>
      <c r="J737" s="22">
        <f t="shared" si="16"/>
        <v>3.1969282883503439E-2</v>
      </c>
      <c r="K737" s="22"/>
    </row>
    <row r="738" spans="1:11" x14ac:dyDescent="0.15">
      <c r="A738" s="43" t="s">
        <v>335</v>
      </c>
      <c r="B738" s="43" t="s">
        <v>925</v>
      </c>
      <c r="C738" s="43">
        <v>2065</v>
      </c>
      <c r="D738" s="43" t="s">
        <v>638</v>
      </c>
      <c r="E738" s="43" t="s">
        <v>742</v>
      </c>
      <c r="F738" s="43">
        <v>3.2054399999999998</v>
      </c>
      <c r="G738" s="43">
        <v>0.27100000000000002</v>
      </c>
      <c r="H738" s="43">
        <v>0</v>
      </c>
      <c r="I738" s="43" t="s">
        <v>298</v>
      </c>
      <c r="J738" s="22">
        <f t="shared" si="16"/>
        <v>1.1158671586715865E-2</v>
      </c>
      <c r="K738" s="22"/>
    </row>
    <row r="739" spans="1:11" x14ac:dyDescent="0.15">
      <c r="A739" s="43" t="s">
        <v>335</v>
      </c>
      <c r="B739" s="43" t="s">
        <v>925</v>
      </c>
      <c r="C739" s="43">
        <v>2065</v>
      </c>
      <c r="D739" s="43" t="s">
        <v>639</v>
      </c>
      <c r="E739" s="43" t="s">
        <v>742</v>
      </c>
      <c r="F739" s="43">
        <v>0.11871999999999999</v>
      </c>
      <c r="G739" s="43">
        <v>0.191</v>
      </c>
      <c r="H739" s="43">
        <v>9</v>
      </c>
      <c r="I739" s="43" t="s">
        <v>298</v>
      </c>
      <c r="J739" s="22">
        <f t="shared" si="16"/>
        <v>5.79168032181442E-4</v>
      </c>
      <c r="K739" s="22"/>
    </row>
    <row r="740" spans="1:11" x14ac:dyDescent="0.15">
      <c r="A740" s="43" t="s">
        <v>335</v>
      </c>
      <c r="B740" s="43" t="s">
        <v>925</v>
      </c>
      <c r="C740" s="43">
        <v>2065</v>
      </c>
      <c r="D740" s="43" t="s">
        <v>640</v>
      </c>
      <c r="E740" s="43" t="s">
        <v>742</v>
      </c>
      <c r="F740" s="43">
        <v>0.43460000000000004</v>
      </c>
      <c r="G740" s="43">
        <v>0.27600000000000002</v>
      </c>
      <c r="H740" s="43">
        <v>11</v>
      </c>
      <c r="I740" s="43" t="s">
        <v>298</v>
      </c>
      <c r="J740" s="22">
        <f t="shared" si="16"/>
        <v>1.4582142942519646E-3</v>
      </c>
      <c r="K740" s="22"/>
    </row>
    <row r="741" spans="1:11" x14ac:dyDescent="0.15">
      <c r="A741" s="43" t="s">
        <v>335</v>
      </c>
      <c r="B741" s="43" t="s">
        <v>925</v>
      </c>
      <c r="C741" s="43">
        <v>2065</v>
      </c>
      <c r="D741" s="43" t="s">
        <v>596</v>
      </c>
      <c r="E741" s="43" t="s">
        <v>743</v>
      </c>
      <c r="F741" s="43">
        <v>1.9663000000000002</v>
      </c>
      <c r="G741" s="43">
        <v>0.35799999999999998</v>
      </c>
      <c r="H741" s="43">
        <v>0</v>
      </c>
      <c r="I741" s="43" t="s">
        <v>298</v>
      </c>
      <c r="J741" s="22">
        <f t="shared" si="16"/>
        <v>5.1815642458100568E-3</v>
      </c>
      <c r="K741" s="22"/>
    </row>
    <row r="742" spans="1:11" x14ac:dyDescent="0.15">
      <c r="A742" s="43" t="s">
        <v>335</v>
      </c>
      <c r="B742" s="43" t="s">
        <v>925</v>
      </c>
      <c r="C742" s="43">
        <v>2065</v>
      </c>
      <c r="D742" s="43" t="s">
        <v>641</v>
      </c>
      <c r="E742" s="43" t="s">
        <v>743</v>
      </c>
      <c r="F742" s="43">
        <v>2.0818400000000001</v>
      </c>
      <c r="G742" s="43">
        <v>5.7000000000000002E-2</v>
      </c>
      <c r="H742" s="43">
        <v>22</v>
      </c>
      <c r="I742" s="43" t="s">
        <v>298</v>
      </c>
      <c r="J742" s="22">
        <f t="shared" si="16"/>
        <v>3.1947177024020536E-2</v>
      </c>
      <c r="K742" s="22"/>
    </row>
    <row r="743" spans="1:11" x14ac:dyDescent="0.15">
      <c r="A743" s="43" t="s">
        <v>335</v>
      </c>
      <c r="B743" s="43" t="s">
        <v>925</v>
      </c>
      <c r="C743" s="43">
        <v>2065</v>
      </c>
      <c r="D743" s="43" t="s">
        <v>642</v>
      </c>
      <c r="E743" s="43" t="s">
        <v>743</v>
      </c>
      <c r="F743" s="43">
        <v>0.23002</v>
      </c>
      <c r="G743" s="43">
        <v>5.5999999999999994E-2</v>
      </c>
      <c r="H743" s="43">
        <v>26</v>
      </c>
      <c r="I743" s="43" t="s">
        <v>298</v>
      </c>
      <c r="J743" s="22">
        <f t="shared" si="16"/>
        <v>3.4828269294092731E-3</v>
      </c>
      <c r="K743" s="22"/>
    </row>
    <row r="744" spans="1:11" x14ac:dyDescent="0.15">
      <c r="A744" s="43" t="s">
        <v>335</v>
      </c>
      <c r="B744" s="43" t="s">
        <v>925</v>
      </c>
      <c r="C744" s="43">
        <v>2065</v>
      </c>
      <c r="D744" s="43" t="s">
        <v>643</v>
      </c>
      <c r="E744" s="43" t="s">
        <v>743</v>
      </c>
      <c r="F744" s="43">
        <v>0.93068000000000006</v>
      </c>
      <c r="G744" s="43">
        <v>7.2999999999999995E-2</v>
      </c>
      <c r="H744" s="43">
        <v>29</v>
      </c>
      <c r="I744" s="43" t="s">
        <v>298</v>
      </c>
      <c r="J744" s="22">
        <f t="shared" si="16"/>
        <v>1.0519398669429993E-2</v>
      </c>
      <c r="K744" s="22"/>
    </row>
    <row r="745" spans="1:11" x14ac:dyDescent="0.15">
      <c r="A745" s="43" t="s">
        <v>335</v>
      </c>
      <c r="B745" s="43" t="s">
        <v>925</v>
      </c>
      <c r="C745" s="43">
        <v>2065</v>
      </c>
      <c r="D745" s="43" t="s">
        <v>644</v>
      </c>
      <c r="E745" s="43" t="s">
        <v>743</v>
      </c>
      <c r="F745" s="43">
        <v>0.63175999999999999</v>
      </c>
      <c r="G745" s="43">
        <v>5.7999999999999996E-2</v>
      </c>
      <c r="H745" s="43">
        <v>32</v>
      </c>
      <c r="I745" s="43" t="s">
        <v>298</v>
      </c>
      <c r="J745" s="22">
        <f t="shared" si="16"/>
        <v>8.7144252639522381E-3</v>
      </c>
      <c r="K745" s="22"/>
    </row>
    <row r="746" spans="1:11" x14ac:dyDescent="0.15">
      <c r="A746" s="43" t="s">
        <v>335</v>
      </c>
      <c r="B746" s="43" t="s">
        <v>925</v>
      </c>
      <c r="C746" s="43">
        <v>2065</v>
      </c>
      <c r="D746" s="43" t="s">
        <v>645</v>
      </c>
      <c r="E746" s="43" t="s">
        <v>743</v>
      </c>
      <c r="F746" s="43">
        <v>0.63070000000000004</v>
      </c>
      <c r="G746" s="43">
        <v>0.22</v>
      </c>
      <c r="H746" s="43">
        <v>0</v>
      </c>
      <c r="I746" s="43" t="s">
        <v>298</v>
      </c>
      <c r="J746" s="22">
        <f t="shared" si="16"/>
        <v>2.7045454545454547E-3</v>
      </c>
      <c r="K746" s="22"/>
    </row>
    <row r="747" spans="1:11" x14ac:dyDescent="0.15">
      <c r="A747" s="43" t="s">
        <v>335</v>
      </c>
      <c r="B747" s="43" t="s">
        <v>925</v>
      </c>
      <c r="C747" s="43">
        <v>2065</v>
      </c>
      <c r="D747" s="43" t="s">
        <v>494</v>
      </c>
      <c r="E747" s="43" t="s">
        <v>743</v>
      </c>
      <c r="F747" s="43">
        <v>0.60632000000000008</v>
      </c>
      <c r="G747" s="43">
        <v>4.4999999999999998E-2</v>
      </c>
      <c r="H747" s="43">
        <v>35</v>
      </c>
      <c r="I747" s="43" t="s">
        <v>298</v>
      </c>
      <c r="J747" s="22">
        <f t="shared" si="16"/>
        <v>1.0412332651851187E-2</v>
      </c>
      <c r="K747" s="22"/>
    </row>
    <row r="748" spans="1:11" x14ac:dyDescent="0.15">
      <c r="A748" s="43" t="s">
        <v>335</v>
      </c>
      <c r="B748" s="43" t="s">
        <v>925</v>
      </c>
      <c r="C748" s="43">
        <v>2065</v>
      </c>
      <c r="D748" s="43" t="s">
        <v>647</v>
      </c>
      <c r="E748" s="43" t="s">
        <v>743</v>
      </c>
      <c r="F748" s="43">
        <v>0.50244</v>
      </c>
      <c r="G748" s="43">
        <v>3.3000000000000002E-2</v>
      </c>
      <c r="H748" s="43">
        <v>31</v>
      </c>
      <c r="I748" s="43" t="s">
        <v>298</v>
      </c>
      <c r="J748" s="22">
        <f t="shared" si="16"/>
        <v>1.2312039410084885E-2</v>
      </c>
      <c r="K748" s="22"/>
    </row>
    <row r="749" spans="1:11" x14ac:dyDescent="0.15">
      <c r="A749" s="43" t="s">
        <v>335</v>
      </c>
      <c r="B749" s="43" t="s">
        <v>925</v>
      </c>
      <c r="C749" s="43">
        <v>2065</v>
      </c>
      <c r="D749" s="43" t="s">
        <v>648</v>
      </c>
      <c r="E749" s="43" t="s">
        <v>743</v>
      </c>
      <c r="F749" s="43">
        <v>1.6271000000000002</v>
      </c>
      <c r="G749" s="43">
        <v>6.8000000000000005E-2</v>
      </c>
      <c r="H749" s="43">
        <v>38</v>
      </c>
      <c r="I749" s="43" t="s">
        <v>298</v>
      </c>
      <c r="J749" s="22">
        <f t="shared" si="16"/>
        <v>1.7788183923328212E-2</v>
      </c>
      <c r="K749" s="22"/>
    </row>
    <row r="750" spans="1:11" x14ac:dyDescent="0.15">
      <c r="A750" s="30" t="s">
        <v>649</v>
      </c>
      <c r="B750" s="30" t="s">
        <v>925</v>
      </c>
      <c r="C750" s="30">
        <v>3.6</v>
      </c>
      <c r="D750" s="30" t="s">
        <v>541</v>
      </c>
      <c r="E750" s="30" t="s">
        <v>742</v>
      </c>
      <c r="F750" s="30">
        <v>1.4098000000000001E-2</v>
      </c>
      <c r="G750" s="30">
        <v>9.9600000000000008E-2</v>
      </c>
      <c r="H750" s="30">
        <v>0</v>
      </c>
      <c r="I750" s="30" t="s">
        <v>650</v>
      </c>
      <c r="J750" s="22">
        <f t="shared" si="16"/>
        <v>1.3353413654618475E-4</v>
      </c>
      <c r="K750" s="22" t="s">
        <v>360</v>
      </c>
    </row>
    <row r="751" spans="1:11" x14ac:dyDescent="0.15">
      <c r="A751" s="30" t="s">
        <v>649</v>
      </c>
      <c r="B751" s="30" t="s">
        <v>925</v>
      </c>
      <c r="C751" s="30">
        <v>3.6</v>
      </c>
      <c r="D751" s="30" t="s">
        <v>651</v>
      </c>
      <c r="E751" s="30" t="s">
        <v>742</v>
      </c>
      <c r="F751" s="30">
        <v>1.4945999999999999E-2</v>
      </c>
      <c r="G751" s="30">
        <v>7.6700000000000004E-2</v>
      </c>
      <c r="H751" s="30">
        <v>24</v>
      </c>
      <c r="I751" s="30" t="s">
        <v>650</v>
      </c>
      <c r="J751" s="22">
        <f t="shared" si="16"/>
        <v>1.6793990811943507E-4</v>
      </c>
      <c r="K751" s="22"/>
    </row>
    <row r="752" spans="1:11" x14ac:dyDescent="0.15">
      <c r="A752" s="30" t="s">
        <v>649</v>
      </c>
      <c r="B752" s="30" t="s">
        <v>925</v>
      </c>
      <c r="C752" s="30">
        <v>3.6</v>
      </c>
      <c r="D752" s="30" t="s">
        <v>431</v>
      </c>
      <c r="E752" s="30" t="s">
        <v>742</v>
      </c>
      <c r="F752" s="30">
        <v>1.6324E-3</v>
      </c>
      <c r="G752" s="30">
        <v>2.4500000000000001E-2</v>
      </c>
      <c r="H752" s="30">
        <v>0</v>
      </c>
      <c r="I752" s="30" t="s">
        <v>650</v>
      </c>
      <c r="J752" s="22">
        <f t="shared" si="16"/>
        <v>6.2857142857142848E-5</v>
      </c>
      <c r="K752" s="22"/>
    </row>
    <row r="753" spans="1:11" x14ac:dyDescent="0.15">
      <c r="A753" s="30" t="s">
        <v>649</v>
      </c>
      <c r="B753" s="30" t="s">
        <v>925</v>
      </c>
      <c r="C753" s="30">
        <v>3.6</v>
      </c>
      <c r="D753" s="30" t="s">
        <v>376</v>
      </c>
      <c r="E753" s="30" t="s">
        <v>742</v>
      </c>
      <c r="F753" s="30">
        <v>5.7240000000000008E-3</v>
      </c>
      <c r="G753" s="30">
        <v>6.2699999999999992E-2</v>
      </c>
      <c r="H753" s="30">
        <v>0</v>
      </c>
      <c r="I753" s="30" t="s">
        <v>650</v>
      </c>
      <c r="J753" s="22">
        <f t="shared" si="16"/>
        <v>8.6124401913875625E-5</v>
      </c>
      <c r="K753" s="22"/>
    </row>
    <row r="754" spans="1:11" x14ac:dyDescent="0.15">
      <c r="A754" s="30" t="s">
        <v>649</v>
      </c>
      <c r="B754" s="30" t="s">
        <v>925</v>
      </c>
      <c r="C754" s="30">
        <v>3.6</v>
      </c>
      <c r="D754" s="30" t="s">
        <v>375</v>
      </c>
      <c r="E754" s="30" t="s">
        <v>742</v>
      </c>
      <c r="F754" s="30">
        <v>4.3459999999999999E-4</v>
      </c>
      <c r="G754" s="30">
        <v>1.9400000000000001E-2</v>
      </c>
      <c r="H754" s="30">
        <v>0</v>
      </c>
      <c r="I754" s="30" t="s">
        <v>650</v>
      </c>
      <c r="J754" s="22">
        <f t="shared" si="16"/>
        <v>2.1134020618556702E-5</v>
      </c>
      <c r="K754" s="22"/>
    </row>
    <row r="755" spans="1:11" x14ac:dyDescent="0.15">
      <c r="A755" s="30" t="s">
        <v>649</v>
      </c>
      <c r="B755" s="30" t="s">
        <v>925</v>
      </c>
      <c r="C755" s="30">
        <v>3.6</v>
      </c>
      <c r="D755" s="30" t="s">
        <v>429</v>
      </c>
      <c r="E755" s="30" t="s">
        <v>742</v>
      </c>
      <c r="F755" s="30">
        <v>5.5650000000000005E-3</v>
      </c>
      <c r="G755" s="30">
        <v>2.2099999999999998E-2</v>
      </c>
      <c r="H755" s="30">
        <v>21</v>
      </c>
      <c r="I755" s="30" t="s">
        <v>650</v>
      </c>
      <c r="J755" s="22">
        <f t="shared" si="16"/>
        <v>2.2177815561585113E-4</v>
      </c>
      <c r="K755" s="22"/>
    </row>
    <row r="756" spans="1:11" x14ac:dyDescent="0.15">
      <c r="A756" s="30" t="s">
        <v>649</v>
      </c>
      <c r="B756" s="30" t="s">
        <v>925</v>
      </c>
      <c r="C756" s="30">
        <v>3.6</v>
      </c>
      <c r="D756" s="30" t="s">
        <v>430</v>
      </c>
      <c r="E756" s="30" t="s">
        <v>742</v>
      </c>
      <c r="F756" s="30">
        <v>3.2330000000000002E-3</v>
      </c>
      <c r="G756" s="30">
        <v>1.4999999999999999E-2</v>
      </c>
      <c r="H756" s="30">
        <v>19</v>
      </c>
      <c r="I756" s="30" t="s">
        <v>650</v>
      </c>
      <c r="J756" s="22">
        <f t="shared" si="16"/>
        <v>1.9225544370519447E-4</v>
      </c>
      <c r="K756" s="22"/>
    </row>
    <row r="757" spans="1:11" x14ac:dyDescent="0.15">
      <c r="A757" s="30" t="s">
        <v>649</v>
      </c>
      <c r="B757" s="30" t="s">
        <v>925</v>
      </c>
      <c r="C757" s="30">
        <v>3.6</v>
      </c>
      <c r="D757" s="30" t="s">
        <v>434</v>
      </c>
      <c r="E757" s="30" t="s">
        <v>742</v>
      </c>
      <c r="F757" s="30">
        <v>2.6712000000000003E-3</v>
      </c>
      <c r="G757" s="30">
        <v>1.9900000000000001E-2</v>
      </c>
      <c r="H757" s="30">
        <v>18</v>
      </c>
      <c r="I757" s="30" t="s">
        <v>650</v>
      </c>
      <c r="J757" s="22">
        <f t="shared" si="16"/>
        <v>1.2043529754089381E-4</v>
      </c>
      <c r="K757" s="22"/>
    </row>
    <row r="758" spans="1:11" x14ac:dyDescent="0.15">
      <c r="A758" s="30" t="s">
        <v>649</v>
      </c>
      <c r="B758" s="30" t="s">
        <v>925</v>
      </c>
      <c r="C758" s="30">
        <v>3.6</v>
      </c>
      <c r="D758" s="30" t="s">
        <v>545</v>
      </c>
      <c r="E758" s="30" t="s">
        <v>742</v>
      </c>
      <c r="F758" s="30">
        <v>4.0492000000000002E-3</v>
      </c>
      <c r="G758" s="30">
        <v>1.89E-2</v>
      </c>
      <c r="H758" s="30">
        <v>34</v>
      </c>
      <c r="I758" s="30" t="s">
        <v>650</v>
      </c>
      <c r="J758" s="22">
        <f t="shared" si="16"/>
        <v>1.6756209138414071E-4</v>
      </c>
      <c r="K758" s="22"/>
    </row>
    <row r="759" spans="1:11" x14ac:dyDescent="0.15">
      <c r="A759" s="30" t="s">
        <v>649</v>
      </c>
      <c r="B759" s="30" t="s">
        <v>925</v>
      </c>
      <c r="C759" s="30">
        <v>3.6</v>
      </c>
      <c r="D759" s="30" t="s">
        <v>562</v>
      </c>
      <c r="E759" s="30" t="s">
        <v>742</v>
      </c>
      <c r="F759" s="30">
        <v>4.7700000000000005E-4</v>
      </c>
      <c r="G759" s="30">
        <v>7.9000000000000008E-3</v>
      </c>
      <c r="H759" s="30">
        <v>18</v>
      </c>
      <c r="I759" s="30" t="s">
        <v>650</v>
      </c>
      <c r="J759" s="22">
        <f t="shared" si="16"/>
        <v>5.4174105358584697E-5</v>
      </c>
      <c r="K759" s="22"/>
    </row>
    <row r="760" spans="1:11" x14ac:dyDescent="0.15">
      <c r="A760" s="30" t="s">
        <v>649</v>
      </c>
      <c r="B760" s="30" t="s">
        <v>925</v>
      </c>
      <c r="C760" s="30">
        <v>3.6</v>
      </c>
      <c r="D760" s="30" t="s">
        <v>371</v>
      </c>
      <c r="E760" s="30" t="s">
        <v>742</v>
      </c>
      <c r="F760" s="30">
        <v>1.6430000000000001E-3</v>
      </c>
      <c r="G760" s="30">
        <v>1.3100000000000001E-2</v>
      </c>
      <c r="H760" s="30">
        <v>17</v>
      </c>
      <c r="I760" s="30" t="s">
        <v>650</v>
      </c>
      <c r="J760" s="22">
        <f t="shared" si="16"/>
        <v>1.1315056272845076E-4</v>
      </c>
      <c r="K760" s="22"/>
    </row>
    <row r="761" spans="1:11" x14ac:dyDescent="0.15">
      <c r="A761" s="30" t="s">
        <v>649</v>
      </c>
      <c r="B761" s="30" t="s">
        <v>925</v>
      </c>
      <c r="C761" s="30">
        <v>3.6</v>
      </c>
      <c r="D761" s="30" t="s">
        <v>554</v>
      </c>
      <c r="E761" s="30" t="s">
        <v>742</v>
      </c>
      <c r="F761" s="30">
        <v>1.5688E-3</v>
      </c>
      <c r="G761" s="30">
        <v>3.6699999999999997E-2</v>
      </c>
      <c r="H761" s="30">
        <v>0</v>
      </c>
      <c r="I761" s="30" t="s">
        <v>650</v>
      </c>
      <c r="J761" s="22">
        <f t="shared" si="16"/>
        <v>4.0326975476839244E-5</v>
      </c>
      <c r="K761" s="22"/>
    </row>
    <row r="762" spans="1:11" x14ac:dyDescent="0.15">
      <c r="A762" s="30" t="s">
        <v>649</v>
      </c>
      <c r="B762" s="30" t="s">
        <v>925</v>
      </c>
      <c r="C762" s="30">
        <v>3.6</v>
      </c>
      <c r="D762" s="30" t="s">
        <v>439</v>
      </c>
      <c r="E762" s="30" t="s">
        <v>742</v>
      </c>
      <c r="F762" s="30">
        <v>1.166E-2</v>
      </c>
      <c r="G762" s="30">
        <v>3.7999999999999999E-2</v>
      </c>
      <c r="H762" s="30">
        <v>24</v>
      </c>
      <c r="I762" s="30" t="s">
        <v>650</v>
      </c>
      <c r="J762" s="22">
        <f t="shared" si="16"/>
        <v>2.6444736931759496E-4</v>
      </c>
      <c r="K762" s="22"/>
    </row>
    <row r="763" spans="1:11" x14ac:dyDescent="0.15">
      <c r="A763" s="30" t="s">
        <v>649</v>
      </c>
      <c r="B763" s="30" t="s">
        <v>925</v>
      </c>
      <c r="C763" s="30">
        <v>3.6</v>
      </c>
      <c r="D763" s="30" t="s">
        <v>437</v>
      </c>
      <c r="E763" s="30" t="s">
        <v>742</v>
      </c>
      <c r="F763" s="30">
        <v>3.869E-3</v>
      </c>
      <c r="G763" s="30">
        <v>2.3199999999999998E-2</v>
      </c>
      <c r="H763" s="30">
        <v>18</v>
      </c>
      <c r="I763" s="30" t="s">
        <v>650</v>
      </c>
      <c r="J763" s="22">
        <f t="shared" si="16"/>
        <v>1.4962742605505649E-4</v>
      </c>
      <c r="K763" s="22"/>
    </row>
    <row r="764" spans="1:11" x14ac:dyDescent="0.15">
      <c r="A764" s="30" t="s">
        <v>649</v>
      </c>
      <c r="B764" s="30" t="s">
        <v>925</v>
      </c>
      <c r="C764" s="30">
        <v>3.6</v>
      </c>
      <c r="D764" s="30" t="s">
        <v>438</v>
      </c>
      <c r="E764" s="30" t="s">
        <v>742</v>
      </c>
      <c r="F764" s="30">
        <v>3.4344000000000006E-3</v>
      </c>
      <c r="G764" s="30">
        <v>2.3199999999999998E-2</v>
      </c>
      <c r="H764" s="30">
        <v>21</v>
      </c>
      <c r="I764" s="30" t="s">
        <v>650</v>
      </c>
      <c r="J764" s="22">
        <f t="shared" si="16"/>
        <v>1.3037933542460925E-4</v>
      </c>
      <c r="K764" s="22"/>
    </row>
    <row r="765" spans="1:11" x14ac:dyDescent="0.15">
      <c r="A765" s="30" t="s">
        <v>649</v>
      </c>
      <c r="B765" s="30" t="s">
        <v>925</v>
      </c>
      <c r="C765" s="30">
        <v>3.6</v>
      </c>
      <c r="D765" s="30" t="s">
        <v>652</v>
      </c>
      <c r="E765" s="30" t="s">
        <v>742</v>
      </c>
      <c r="F765" s="30">
        <v>3.3072000000000002E-3</v>
      </c>
      <c r="G765" s="30">
        <v>4.3799999999999999E-2</v>
      </c>
      <c r="H765" s="30">
        <v>0</v>
      </c>
      <c r="I765" s="30" t="s">
        <v>650</v>
      </c>
      <c r="J765" s="22">
        <f t="shared" si="16"/>
        <v>7.1232876712328777E-5</v>
      </c>
      <c r="K765" s="22"/>
    </row>
    <row r="766" spans="1:11" x14ac:dyDescent="0.15">
      <c r="A766" s="30" t="s">
        <v>649</v>
      </c>
      <c r="B766" s="30" t="s">
        <v>925</v>
      </c>
      <c r="C766" s="30">
        <v>3.6</v>
      </c>
      <c r="D766" s="30" t="s">
        <v>567</v>
      </c>
      <c r="E766" s="30" t="s">
        <v>742</v>
      </c>
      <c r="F766" s="30">
        <v>5.1092000000000004E-3</v>
      </c>
      <c r="G766" s="30">
        <v>7.17E-2</v>
      </c>
      <c r="H766" s="30">
        <v>0</v>
      </c>
      <c r="I766" s="30" t="s">
        <v>650</v>
      </c>
      <c r="J766" s="22">
        <f t="shared" si="16"/>
        <v>6.7224546722454681E-5</v>
      </c>
      <c r="K766" s="22"/>
    </row>
    <row r="767" spans="1:11" x14ac:dyDescent="0.15">
      <c r="A767" s="30" t="s">
        <v>649</v>
      </c>
      <c r="B767" s="30" t="s">
        <v>925</v>
      </c>
      <c r="C767" s="30">
        <v>3.6</v>
      </c>
      <c r="D767" s="30" t="s">
        <v>546</v>
      </c>
      <c r="E767" s="30" t="s">
        <v>743</v>
      </c>
      <c r="F767" s="30">
        <v>3.9219999999999999E-4</v>
      </c>
      <c r="G767" s="30">
        <v>1.55E-2</v>
      </c>
      <c r="H767" s="30">
        <v>0</v>
      </c>
      <c r="I767" s="30" t="s">
        <v>650</v>
      </c>
      <c r="J767" s="22">
        <f t="shared" si="16"/>
        <v>2.3870967741935483E-5</v>
      </c>
      <c r="K767" s="22"/>
    </row>
    <row r="768" spans="1:11" x14ac:dyDescent="0.15">
      <c r="A768" s="30" t="s">
        <v>649</v>
      </c>
      <c r="B768" s="30" t="s">
        <v>925</v>
      </c>
      <c r="C768" s="30">
        <v>3.6</v>
      </c>
      <c r="D768" s="30" t="s">
        <v>388</v>
      </c>
      <c r="E768" s="30" t="s">
        <v>743</v>
      </c>
      <c r="F768" s="30">
        <v>6.3600000000000006E-4</v>
      </c>
      <c r="G768" s="30">
        <v>1.15E-2</v>
      </c>
      <c r="H768" s="30">
        <v>21</v>
      </c>
      <c r="I768" s="30" t="s">
        <v>650</v>
      </c>
      <c r="J768" s="22">
        <f t="shared" si="16"/>
        <v>4.8708543991158362E-5</v>
      </c>
      <c r="K768" s="22"/>
    </row>
    <row r="769" spans="1:11" x14ac:dyDescent="0.15">
      <c r="A769" s="30" t="s">
        <v>649</v>
      </c>
      <c r="B769" s="30" t="s">
        <v>925</v>
      </c>
      <c r="C769" s="30">
        <v>3.6</v>
      </c>
      <c r="D769" s="30" t="s">
        <v>380</v>
      </c>
      <c r="E769" s="30" t="s">
        <v>743</v>
      </c>
      <c r="F769" s="30">
        <v>5.618000000000001E-4</v>
      </c>
      <c r="G769" s="30">
        <v>9.7000000000000003E-3</v>
      </c>
      <c r="H769" s="30">
        <v>19</v>
      </c>
      <c r="I769" s="30" t="s">
        <v>650</v>
      </c>
      <c r="J769" s="22">
        <f t="shared" si="16"/>
        <v>5.1662355161612171E-5</v>
      </c>
      <c r="K769" s="22"/>
    </row>
    <row r="770" spans="1:11" x14ac:dyDescent="0.15">
      <c r="A770" s="30" t="s">
        <v>649</v>
      </c>
      <c r="B770" s="30" t="s">
        <v>925</v>
      </c>
      <c r="C770" s="30">
        <v>3.6</v>
      </c>
      <c r="D770" s="30" t="s">
        <v>446</v>
      </c>
      <c r="E770" s="30" t="s">
        <v>743</v>
      </c>
      <c r="F770" s="30">
        <v>6.8900000000000005E-4</v>
      </c>
      <c r="G770" s="30">
        <v>9.4999999999999998E-3</v>
      </c>
      <c r="H770" s="30">
        <v>19</v>
      </c>
      <c r="I770" s="30" t="s">
        <v>650</v>
      </c>
      <c r="J770" s="22">
        <f t="shared" si="16"/>
        <v>6.4693376225216412E-5</v>
      </c>
      <c r="K770" s="22"/>
    </row>
    <row r="771" spans="1:11" x14ac:dyDescent="0.15">
      <c r="A771" s="30" t="s">
        <v>649</v>
      </c>
      <c r="B771" s="30" t="s">
        <v>925</v>
      </c>
      <c r="C771" s="30">
        <v>3.6</v>
      </c>
      <c r="D771" s="30" t="s">
        <v>653</v>
      </c>
      <c r="E771" s="30" t="s">
        <v>743</v>
      </c>
      <c r="F771" s="30">
        <v>5.0880000000000001E-4</v>
      </c>
      <c r="G771" s="30">
        <v>7.0999999999999995E-3</v>
      </c>
      <c r="H771" s="30">
        <v>19</v>
      </c>
      <c r="I771" s="30" t="s">
        <v>650</v>
      </c>
      <c r="J771" s="22">
        <f t="shared" si="16"/>
        <v>6.3922382575728464E-5</v>
      </c>
      <c r="K771" s="22"/>
    </row>
    <row r="772" spans="1:11" x14ac:dyDescent="0.15">
      <c r="A772" s="30" t="s">
        <v>649</v>
      </c>
      <c r="B772" s="30" t="s">
        <v>925</v>
      </c>
      <c r="C772" s="30">
        <v>3.6</v>
      </c>
      <c r="D772" s="30" t="s">
        <v>654</v>
      </c>
      <c r="E772" s="30" t="s">
        <v>743</v>
      </c>
      <c r="F772" s="30">
        <v>9.3280000000000012E-4</v>
      </c>
      <c r="G772" s="30">
        <v>8.8999999999999999E-3</v>
      </c>
      <c r="H772" s="30">
        <v>19</v>
      </c>
      <c r="I772" s="30" t="s">
        <v>650</v>
      </c>
      <c r="J772" s="22">
        <f t="shared" si="16"/>
        <v>9.3489477137909992E-5</v>
      </c>
      <c r="K772" s="22"/>
    </row>
    <row r="773" spans="1:11" x14ac:dyDescent="0.15">
      <c r="A773" s="30" t="s">
        <v>649</v>
      </c>
      <c r="B773" s="30" t="s">
        <v>925</v>
      </c>
      <c r="C773" s="30">
        <v>3.6</v>
      </c>
      <c r="D773" s="30" t="s">
        <v>655</v>
      </c>
      <c r="E773" s="30" t="s">
        <v>743</v>
      </c>
      <c r="F773" s="30">
        <v>6.0632000000000004E-3</v>
      </c>
      <c r="G773" s="30">
        <v>1.49E-2</v>
      </c>
      <c r="H773" s="30">
        <v>21</v>
      </c>
      <c r="I773" s="30" t="s">
        <v>650</v>
      </c>
      <c r="J773" s="22">
        <f t="shared" si="16"/>
        <v>3.5839463352778486E-4</v>
      </c>
      <c r="K773" s="22"/>
    </row>
    <row r="774" spans="1:11" x14ac:dyDescent="0.15">
      <c r="A774" s="30" t="s">
        <v>649</v>
      </c>
      <c r="B774" s="30" t="s">
        <v>925</v>
      </c>
      <c r="C774" s="30">
        <v>3.6</v>
      </c>
      <c r="D774" s="30" t="s">
        <v>571</v>
      </c>
      <c r="E774" s="30" t="s">
        <v>743</v>
      </c>
      <c r="F774" s="30">
        <v>8.5860000000000016E-4</v>
      </c>
      <c r="G774" s="30">
        <v>1.2199999999999999E-2</v>
      </c>
      <c r="H774" s="30">
        <v>17</v>
      </c>
      <c r="I774" s="30" t="s">
        <v>650</v>
      </c>
      <c r="J774" s="22">
        <f t="shared" si="16"/>
        <v>6.34923649450868E-5</v>
      </c>
      <c r="K774" s="22"/>
    </row>
    <row r="775" spans="1:11" x14ac:dyDescent="0.15">
      <c r="A775" s="30" t="s">
        <v>649</v>
      </c>
      <c r="B775" s="30" t="s">
        <v>925</v>
      </c>
      <c r="C775" s="30">
        <v>3.6</v>
      </c>
      <c r="D775" s="30" t="s">
        <v>656</v>
      </c>
      <c r="E775" s="30" t="s">
        <v>743</v>
      </c>
      <c r="F775" s="30">
        <v>3.6040000000000003E-4</v>
      </c>
      <c r="G775" s="30">
        <v>2.2499999999999999E-2</v>
      </c>
      <c r="H775" s="30">
        <v>0</v>
      </c>
      <c r="I775" s="30" t="s">
        <v>650</v>
      </c>
      <c r="J775" s="22">
        <f t="shared" si="16"/>
        <v>1.5111111111111114E-5</v>
      </c>
      <c r="K775" s="22"/>
    </row>
    <row r="776" spans="1:11" x14ac:dyDescent="0.15">
      <c r="A776" s="30" t="s">
        <v>649</v>
      </c>
      <c r="B776" s="30" t="s">
        <v>925</v>
      </c>
      <c r="C776" s="30">
        <v>3.6</v>
      </c>
      <c r="D776" s="30" t="s">
        <v>441</v>
      </c>
      <c r="E776" s="30" t="s">
        <v>743</v>
      </c>
      <c r="F776" s="30">
        <v>2.1199999999999999E-3</v>
      </c>
      <c r="G776" s="30">
        <v>1.84E-2</v>
      </c>
      <c r="H776" s="30">
        <v>14</v>
      </c>
      <c r="I776" s="30" t="s">
        <v>650</v>
      </c>
      <c r="J776" s="22">
        <f t="shared" si="16"/>
        <v>1.0546692676913004E-4</v>
      </c>
      <c r="K776" s="22"/>
    </row>
    <row r="777" spans="1:11" x14ac:dyDescent="0.15">
      <c r="A777" s="30" t="s">
        <v>649</v>
      </c>
      <c r="B777" s="30" t="s">
        <v>925</v>
      </c>
      <c r="C777" s="30">
        <v>3.6</v>
      </c>
      <c r="D777" s="30" t="s">
        <v>442</v>
      </c>
      <c r="E777" s="30" t="s">
        <v>743</v>
      </c>
      <c r="F777" s="30">
        <v>4.7700000000000005E-4</v>
      </c>
      <c r="G777" s="30">
        <v>9.1000000000000004E-3</v>
      </c>
      <c r="H777" s="30">
        <v>18</v>
      </c>
      <c r="I777" s="30" t="s">
        <v>650</v>
      </c>
      <c r="J777" s="22">
        <f t="shared" si="16"/>
        <v>4.7030267289320779E-5</v>
      </c>
      <c r="K777" s="22"/>
    </row>
    <row r="778" spans="1:11" x14ac:dyDescent="0.15">
      <c r="A778" s="30" t="s">
        <v>649</v>
      </c>
      <c r="B778" s="30" t="s">
        <v>925</v>
      </c>
      <c r="C778" s="30">
        <v>3.6</v>
      </c>
      <c r="D778" s="30" t="s">
        <v>574</v>
      </c>
      <c r="E778" s="30" t="s">
        <v>743</v>
      </c>
      <c r="F778" s="30">
        <v>8.3740000000000008E-4</v>
      </c>
      <c r="G778" s="30">
        <v>9.8999999999999991E-3</v>
      </c>
      <c r="H778" s="30">
        <v>18</v>
      </c>
      <c r="I778" s="30" t="s">
        <v>650</v>
      </c>
      <c r="J778" s="22">
        <f t="shared" si="16"/>
        <v>7.5892388674057726E-5</v>
      </c>
      <c r="K778" s="22"/>
    </row>
    <row r="779" spans="1:11" x14ac:dyDescent="0.15">
      <c r="A779" s="30" t="s">
        <v>649</v>
      </c>
      <c r="B779" s="30" t="s">
        <v>925</v>
      </c>
      <c r="C779" s="30">
        <v>3.6</v>
      </c>
      <c r="D779" s="30" t="s">
        <v>443</v>
      </c>
      <c r="E779" s="30" t="s">
        <v>743</v>
      </c>
      <c r="F779" s="30">
        <v>5.5120000000000006E-4</v>
      </c>
      <c r="G779" s="30">
        <v>1.29E-2</v>
      </c>
      <c r="H779" s="30">
        <v>19</v>
      </c>
      <c r="I779" s="30" t="s">
        <v>650</v>
      </c>
      <c r="J779" s="22">
        <f t="shared" si="16"/>
        <v>3.811392707842208E-5</v>
      </c>
      <c r="K779" s="22"/>
    </row>
    <row r="780" spans="1:11" x14ac:dyDescent="0.15">
      <c r="A780" s="30" t="s">
        <v>649</v>
      </c>
      <c r="B780" s="30" t="s">
        <v>925</v>
      </c>
      <c r="C780" s="30">
        <v>3.6</v>
      </c>
      <c r="D780" s="30" t="s">
        <v>573</v>
      </c>
      <c r="E780" s="30" t="s">
        <v>743</v>
      </c>
      <c r="F780" s="30">
        <v>6.6780000000000008E-4</v>
      </c>
      <c r="G780" s="30">
        <v>8.1000000000000013E-3</v>
      </c>
      <c r="H780" s="30">
        <v>26</v>
      </c>
      <c r="I780" s="30" t="s">
        <v>650</v>
      </c>
      <c r="J780" s="22">
        <f t="shared" si="16"/>
        <v>6.9906203601046319E-5</v>
      </c>
      <c r="K780" s="22"/>
    </row>
    <row r="781" spans="1:11" x14ac:dyDescent="0.15">
      <c r="A781" s="30" t="s">
        <v>649</v>
      </c>
      <c r="B781" s="30" t="s">
        <v>925</v>
      </c>
      <c r="C781" s="30">
        <v>3.6</v>
      </c>
      <c r="D781" s="30" t="s">
        <v>657</v>
      </c>
      <c r="E781" s="30" t="s">
        <v>743</v>
      </c>
      <c r="F781" s="30">
        <v>4.5580000000000002E-4</v>
      </c>
      <c r="G781" s="30">
        <v>9.300000000000001E-3</v>
      </c>
      <c r="H781" s="30">
        <v>16</v>
      </c>
      <c r="I781" s="30" t="s">
        <v>650</v>
      </c>
      <c r="J781" s="22">
        <f t="shared" si="16"/>
        <v>4.4445433253062054E-5</v>
      </c>
      <c r="K781" s="22"/>
    </row>
    <row r="782" spans="1:11" x14ac:dyDescent="0.15">
      <c r="A782" s="37" t="s">
        <v>921</v>
      </c>
      <c r="B782" s="37" t="s">
        <v>925</v>
      </c>
      <c r="C782" s="37">
        <v>1.7589999999999999</v>
      </c>
      <c r="D782" s="37" t="s">
        <v>698</v>
      </c>
      <c r="E782" s="37" t="s">
        <v>742</v>
      </c>
      <c r="F782" s="37">
        <v>8.7250000000000001E-3</v>
      </c>
      <c r="G782" s="37" t="s">
        <v>1071</v>
      </c>
      <c r="H782" s="37">
        <v>0</v>
      </c>
      <c r="I782" s="37" t="s">
        <v>364</v>
      </c>
      <c r="J782" s="22">
        <v>8.3758670582380511E-5</v>
      </c>
      <c r="K782" s="22"/>
    </row>
    <row r="783" spans="1:11" x14ac:dyDescent="0.15">
      <c r="A783" s="37" t="s">
        <v>921</v>
      </c>
      <c r="B783" s="37" t="s">
        <v>925</v>
      </c>
      <c r="C783" s="37">
        <v>1.7589999999999999</v>
      </c>
      <c r="D783" s="37" t="s">
        <v>699</v>
      </c>
      <c r="E783" s="37" t="s">
        <v>742</v>
      </c>
      <c r="F783" s="37">
        <v>8.1539999999999998E-3</v>
      </c>
      <c r="G783" s="37" t="s">
        <v>1072</v>
      </c>
      <c r="H783" s="37">
        <v>0</v>
      </c>
      <c r="I783" s="37" t="s">
        <v>364</v>
      </c>
      <c r="J783" s="22">
        <v>1.1309769510392669E-4</v>
      </c>
      <c r="K783" s="22"/>
    </row>
    <row r="784" spans="1:11" x14ac:dyDescent="0.15">
      <c r="A784" s="37" t="s">
        <v>921</v>
      </c>
      <c r="B784" s="37" t="s">
        <v>925</v>
      </c>
      <c r="C784" s="37">
        <v>1.7589999999999999</v>
      </c>
      <c r="D784" s="37" t="s">
        <v>721</v>
      </c>
      <c r="E784" s="37" t="s">
        <v>742</v>
      </c>
      <c r="F784" s="37">
        <v>7.5760000000000009E-4</v>
      </c>
      <c r="G784" s="37" t="s">
        <v>1073</v>
      </c>
      <c r="H784" s="37" t="s">
        <v>1110</v>
      </c>
      <c r="I784" s="37" t="s">
        <v>364</v>
      </c>
      <c r="J784" s="22">
        <v>2.3194467261924294E-5</v>
      </c>
      <c r="K784" s="22"/>
    </row>
    <row r="785" spans="1:11" x14ac:dyDescent="0.15">
      <c r="A785" s="37" t="s">
        <v>921</v>
      </c>
      <c r="B785" s="37" t="s">
        <v>925</v>
      </c>
      <c r="C785" s="37">
        <v>1.7589999999999999</v>
      </c>
      <c r="D785" s="37" t="s">
        <v>701</v>
      </c>
      <c r="E785" s="37" t="s">
        <v>742</v>
      </c>
      <c r="F785" s="37">
        <v>9.8029999999999992E-4</v>
      </c>
      <c r="G785" s="37" t="s">
        <v>1074</v>
      </c>
      <c r="H785" s="37" t="s">
        <v>1111</v>
      </c>
      <c r="I785" s="37" t="s">
        <v>364</v>
      </c>
      <c r="J785" s="22">
        <v>3.3318529102704123E-5</v>
      </c>
      <c r="K785" s="22"/>
    </row>
    <row r="786" spans="1:11" x14ac:dyDescent="0.15">
      <c r="A786" s="37" t="s">
        <v>921</v>
      </c>
      <c r="B786" s="37" t="s">
        <v>925</v>
      </c>
      <c r="C786" s="37">
        <v>1.7589999999999999</v>
      </c>
      <c r="D786" s="37" t="s">
        <v>722</v>
      </c>
      <c r="E786" s="37" t="s">
        <v>742</v>
      </c>
      <c r="F786" s="37">
        <v>6.1299999999999994E-4</v>
      </c>
      <c r="G786" s="37" t="s">
        <v>1075</v>
      </c>
      <c r="H786" s="37">
        <v>0</v>
      </c>
      <c r="I786" s="37" t="s">
        <v>364</v>
      </c>
      <c r="J786" s="22">
        <v>2.3288574693639368E-5</v>
      </c>
      <c r="K786" s="22"/>
    </row>
    <row r="787" spans="1:11" x14ac:dyDescent="0.15">
      <c r="A787" s="37" t="s">
        <v>921</v>
      </c>
      <c r="B787" s="37" t="s">
        <v>925</v>
      </c>
      <c r="C787" s="37">
        <v>1.7589999999999999</v>
      </c>
      <c r="D787" s="37" t="s">
        <v>526</v>
      </c>
      <c r="E787" s="37" t="s">
        <v>742</v>
      </c>
      <c r="F787" s="37">
        <v>2.8051E-3</v>
      </c>
      <c r="G787" s="37" t="s">
        <v>1076</v>
      </c>
      <c r="H787" s="37" t="s">
        <v>1112</v>
      </c>
      <c r="I787" s="37" t="s">
        <v>364</v>
      </c>
      <c r="J787" s="22">
        <v>9.7975601848915983E-5</v>
      </c>
      <c r="K787" s="22"/>
    </row>
    <row r="788" spans="1:11" x14ac:dyDescent="0.15">
      <c r="A788" s="37" t="s">
        <v>921</v>
      </c>
      <c r="B788" s="37" t="s">
        <v>925</v>
      </c>
      <c r="C788" s="37">
        <v>1.7589999999999999</v>
      </c>
      <c r="D788" s="37" t="s">
        <v>519</v>
      </c>
      <c r="E788" s="37" t="s">
        <v>742</v>
      </c>
      <c r="F788" s="37">
        <v>2.3018000000000001E-3</v>
      </c>
      <c r="G788" s="37" t="s">
        <v>1077</v>
      </c>
      <c r="H788" s="37" t="s">
        <v>1113</v>
      </c>
      <c r="I788" s="37" t="s">
        <v>364</v>
      </c>
      <c r="J788" s="22">
        <v>5.2952680583486503E-5</v>
      </c>
      <c r="K788" s="22"/>
    </row>
    <row r="789" spans="1:11" x14ac:dyDescent="0.15">
      <c r="A789" s="37" t="s">
        <v>921</v>
      </c>
      <c r="B789" s="37" t="s">
        <v>925</v>
      </c>
      <c r="C789" s="37">
        <v>1.7589999999999999</v>
      </c>
      <c r="D789" s="37" t="s">
        <v>529</v>
      </c>
      <c r="E789" s="37" t="s">
        <v>742</v>
      </c>
      <c r="F789" s="37">
        <v>6.0600000000000003E-5</v>
      </c>
      <c r="G789" s="37" t="s">
        <v>1078</v>
      </c>
      <c r="H789" s="37">
        <v>0</v>
      </c>
      <c r="I789" s="37" t="s">
        <v>364</v>
      </c>
      <c r="J789" s="22">
        <v>4.6141897756864182E-6</v>
      </c>
      <c r="K789" s="22"/>
    </row>
    <row r="790" spans="1:11" x14ac:dyDescent="0.15">
      <c r="A790" s="37" t="s">
        <v>921</v>
      </c>
      <c r="B790" s="37" t="s">
        <v>925</v>
      </c>
      <c r="C790" s="37">
        <v>1.7589999999999999</v>
      </c>
      <c r="D790" s="37" t="s">
        <v>525</v>
      </c>
      <c r="E790" s="37" t="s">
        <v>742</v>
      </c>
      <c r="F790" s="37">
        <v>3.1861000000000003E-3</v>
      </c>
      <c r="G790" s="37" t="s">
        <v>1079</v>
      </c>
      <c r="H790" s="37" t="s">
        <v>1114</v>
      </c>
      <c r="I790" s="37" t="s">
        <v>364</v>
      </c>
      <c r="J790" s="22">
        <v>1.7924666783198187E-4</v>
      </c>
      <c r="K790" s="22"/>
    </row>
    <row r="791" spans="1:11" x14ac:dyDescent="0.15">
      <c r="A791" s="37" t="s">
        <v>921</v>
      </c>
      <c r="B791" s="37" t="s">
        <v>925</v>
      </c>
      <c r="C791" s="37">
        <v>1.7589999999999999</v>
      </c>
      <c r="D791" s="37" t="s">
        <v>528</v>
      </c>
      <c r="E791" s="37" t="s">
        <v>742</v>
      </c>
      <c r="F791" s="37">
        <v>1.5564000000000001E-3</v>
      </c>
      <c r="G791" s="37" t="s">
        <v>1080</v>
      </c>
      <c r="H791" s="37">
        <v>0</v>
      </c>
      <c r="I791" s="37" t="s">
        <v>364</v>
      </c>
      <c r="J791" s="22">
        <v>2.7018159661283521E-5</v>
      </c>
      <c r="K791" s="22"/>
    </row>
    <row r="792" spans="1:11" x14ac:dyDescent="0.15">
      <c r="A792" s="37" t="s">
        <v>921</v>
      </c>
      <c r="B792" s="37" t="s">
        <v>925</v>
      </c>
      <c r="C792" s="37">
        <v>1.7589999999999999</v>
      </c>
      <c r="D792" s="37" t="s">
        <v>705</v>
      </c>
      <c r="E792" s="37" t="s">
        <v>742</v>
      </c>
      <c r="F792" s="37">
        <v>9.1800000000000009E-5</v>
      </c>
      <c r="G792" s="37" t="s">
        <v>1081</v>
      </c>
      <c r="H792" s="37">
        <v>0</v>
      </c>
      <c r="I792" s="37" t="s">
        <v>364</v>
      </c>
      <c r="J792" s="22">
        <v>8.0919199799024214E-6</v>
      </c>
      <c r="K792" s="22"/>
    </row>
    <row r="793" spans="1:11" x14ac:dyDescent="0.15">
      <c r="A793" s="37" t="s">
        <v>921</v>
      </c>
      <c r="B793" s="37" t="s">
        <v>925</v>
      </c>
      <c r="C793" s="37">
        <v>1.7589999999999999</v>
      </c>
      <c r="D793" s="37" t="s">
        <v>501</v>
      </c>
      <c r="E793" s="37" t="s">
        <v>742</v>
      </c>
      <c r="F793" s="37">
        <v>1.7228E-3</v>
      </c>
      <c r="G793" s="37" t="s">
        <v>1082</v>
      </c>
      <c r="H793" s="37" t="s">
        <v>1115</v>
      </c>
      <c r="I793" s="37" t="s">
        <v>364</v>
      </c>
      <c r="J793" s="22">
        <v>7.3029614669765724E-5</v>
      </c>
      <c r="K793" s="22"/>
    </row>
    <row r="794" spans="1:11" x14ac:dyDescent="0.15">
      <c r="A794" s="37" t="s">
        <v>921</v>
      </c>
      <c r="B794" s="37" t="s">
        <v>925</v>
      </c>
      <c r="C794" s="37">
        <v>1.7589999999999999</v>
      </c>
      <c r="D794" s="37" t="s">
        <v>502</v>
      </c>
      <c r="E794" s="37" t="s">
        <v>742</v>
      </c>
      <c r="F794" s="37">
        <v>9.8459999999999997E-4</v>
      </c>
      <c r="G794" s="37" t="s">
        <v>1083</v>
      </c>
      <c r="H794" s="37">
        <v>0</v>
      </c>
      <c r="I794" s="37" t="s">
        <v>364</v>
      </c>
      <c r="J794" s="22">
        <v>2.9759484966865902E-5</v>
      </c>
      <c r="K794" s="22"/>
    </row>
    <row r="795" spans="1:11" x14ac:dyDescent="0.15">
      <c r="A795" s="37" t="s">
        <v>921</v>
      </c>
      <c r="B795" s="37" t="s">
        <v>925</v>
      </c>
      <c r="C795" s="37">
        <v>1.7589999999999999</v>
      </c>
      <c r="D795" s="37" t="s">
        <v>707</v>
      </c>
      <c r="E795" s="37" t="s">
        <v>742</v>
      </c>
      <c r="F795" s="37">
        <v>1.8723000000000001E-3</v>
      </c>
      <c r="G795" s="37" t="s">
        <v>1084</v>
      </c>
      <c r="H795" s="37">
        <v>0</v>
      </c>
      <c r="I795" s="37" t="s">
        <v>364</v>
      </c>
      <c r="J795" s="22">
        <v>6.2654928558222189E-5</v>
      </c>
      <c r="K795" s="22"/>
    </row>
    <row r="796" spans="1:11" x14ac:dyDescent="0.15">
      <c r="A796" s="37" t="s">
        <v>921</v>
      </c>
      <c r="B796" s="37" t="s">
        <v>925</v>
      </c>
      <c r="C796" s="37">
        <v>1.7589999999999999</v>
      </c>
      <c r="D796" s="37" t="s">
        <v>708</v>
      </c>
      <c r="E796" s="37" t="s">
        <v>742</v>
      </c>
      <c r="F796" s="37">
        <v>4.1205E-3</v>
      </c>
      <c r="G796" s="37" t="s">
        <v>1085</v>
      </c>
      <c r="H796" s="37" t="s">
        <v>1116</v>
      </c>
      <c r="I796" s="37" t="s">
        <v>364</v>
      </c>
      <c r="J796" s="22">
        <v>1.4393339748614665E-4</v>
      </c>
      <c r="K796" s="22"/>
    </row>
    <row r="797" spans="1:11" x14ac:dyDescent="0.15">
      <c r="A797" s="37" t="s">
        <v>921</v>
      </c>
      <c r="B797" s="37" t="s">
        <v>925</v>
      </c>
      <c r="C797" s="37">
        <v>1.7589999999999999</v>
      </c>
      <c r="D797" s="37" t="s">
        <v>709</v>
      </c>
      <c r="E797" s="37" t="s">
        <v>742</v>
      </c>
      <c r="F797" s="37">
        <v>2.1461000000000002E-3</v>
      </c>
      <c r="G797" s="37" t="s">
        <v>1086</v>
      </c>
      <c r="H797" s="37">
        <v>0</v>
      </c>
      <c r="I797" s="37" t="s">
        <v>364</v>
      </c>
      <c r="J797" s="22">
        <v>6.1990895330968606E-5</v>
      </c>
      <c r="K797" s="22"/>
    </row>
    <row r="798" spans="1:11" x14ac:dyDescent="0.15">
      <c r="A798" s="37" t="s">
        <v>921</v>
      </c>
      <c r="B798" s="37" t="s">
        <v>925</v>
      </c>
      <c r="C798" s="37">
        <v>1.7589999999999999</v>
      </c>
      <c r="D798" s="37" t="s">
        <v>723</v>
      </c>
      <c r="E798" s="37" t="s">
        <v>742</v>
      </c>
      <c r="F798" s="37">
        <v>5.4330000000000003E-4</v>
      </c>
      <c r="G798" s="37" t="s">
        <v>1087</v>
      </c>
      <c r="H798" s="37">
        <v>0</v>
      </c>
      <c r="I798" s="37" t="s">
        <v>364</v>
      </c>
      <c r="J798" s="22">
        <v>1.2608786465223145E-5</v>
      </c>
      <c r="K798" s="22"/>
    </row>
    <row r="799" spans="1:11" x14ac:dyDescent="0.15">
      <c r="A799" s="37" t="s">
        <v>921</v>
      </c>
      <c r="B799" s="37" t="s">
        <v>925</v>
      </c>
      <c r="C799" s="37">
        <v>1.7589999999999999</v>
      </c>
      <c r="D799" s="37" t="s">
        <v>729</v>
      </c>
      <c r="E799" s="37" t="s">
        <v>743</v>
      </c>
      <c r="F799" s="37">
        <v>2.2950000000000002E-4</v>
      </c>
      <c r="G799" s="37" t="s">
        <v>1088</v>
      </c>
      <c r="H799" s="37">
        <v>0</v>
      </c>
      <c r="I799" s="37" t="s">
        <v>364</v>
      </c>
      <c r="J799" s="22">
        <v>1.6346503130408771E-5</v>
      </c>
      <c r="K799" s="22"/>
    </row>
    <row r="800" spans="1:11" x14ac:dyDescent="0.15">
      <c r="A800" s="37" t="s">
        <v>921</v>
      </c>
      <c r="B800" s="37" t="s">
        <v>925</v>
      </c>
      <c r="C800" s="37">
        <v>1.7589999999999999</v>
      </c>
      <c r="D800" s="37" t="s">
        <v>715</v>
      </c>
      <c r="E800" s="37" t="s">
        <v>743</v>
      </c>
      <c r="F800" s="37">
        <v>1.7090000000000001E-4</v>
      </c>
      <c r="G800" s="37" t="s">
        <v>1089</v>
      </c>
      <c r="H800" s="37">
        <v>0</v>
      </c>
      <c r="I800" s="37" t="s">
        <v>364</v>
      </c>
      <c r="J800" s="22">
        <v>1.8823866327418524E-5</v>
      </c>
      <c r="K800" s="22"/>
    </row>
    <row r="801" spans="1:11" x14ac:dyDescent="0.15">
      <c r="A801" s="37" t="s">
        <v>921</v>
      </c>
      <c r="B801" s="37" t="s">
        <v>925</v>
      </c>
      <c r="C801" s="37">
        <v>1.7589999999999999</v>
      </c>
      <c r="D801" s="37" t="s">
        <v>716</v>
      </c>
      <c r="E801" s="37" t="s">
        <v>743</v>
      </c>
      <c r="F801" s="37">
        <v>6.8020000000000005E-4</v>
      </c>
      <c r="G801" s="37" t="s">
        <v>1090</v>
      </c>
      <c r="H801" s="37">
        <v>0</v>
      </c>
      <c r="I801" s="37" t="s">
        <v>364</v>
      </c>
      <c r="J801" s="22">
        <v>1.5310605869620808E-5</v>
      </c>
      <c r="K801" s="22"/>
    </row>
    <row r="802" spans="1:11" x14ac:dyDescent="0.15">
      <c r="A802" s="37" t="s">
        <v>921</v>
      </c>
      <c r="B802" s="37" t="s">
        <v>925</v>
      </c>
      <c r="C802" s="37">
        <v>1.7589999999999999</v>
      </c>
      <c r="D802" s="37" t="s">
        <v>724</v>
      </c>
      <c r="E802" s="37" t="s">
        <v>743</v>
      </c>
      <c r="F802" s="37">
        <v>2.0549999999999998E-4</v>
      </c>
      <c r="G802" s="37" t="s">
        <v>1091</v>
      </c>
      <c r="H802" s="37" t="s">
        <v>1117</v>
      </c>
      <c r="I802" s="37" t="s">
        <v>364</v>
      </c>
      <c r="J802" s="22">
        <v>1.7976737525786921E-5</v>
      </c>
      <c r="K802" s="22"/>
    </row>
    <row r="803" spans="1:11" x14ac:dyDescent="0.15">
      <c r="A803" s="37" t="s">
        <v>921</v>
      </c>
      <c r="B803" s="37" t="s">
        <v>925</v>
      </c>
      <c r="C803" s="37">
        <v>1.7589999999999999</v>
      </c>
      <c r="D803" s="37" t="s">
        <v>725</v>
      </c>
      <c r="E803" s="37" t="s">
        <v>743</v>
      </c>
      <c r="F803" s="37">
        <v>5.2820000000000005E-4</v>
      </c>
      <c r="G803" s="37" t="s">
        <v>1092</v>
      </c>
      <c r="H803" s="37">
        <v>0</v>
      </c>
      <c r="I803" s="37" t="s">
        <v>364</v>
      </c>
      <c r="J803" s="22">
        <v>1.3358404578579261E-5</v>
      </c>
      <c r="K803" s="22"/>
    </row>
    <row r="804" spans="1:11" x14ac:dyDescent="0.15">
      <c r="A804" s="37" t="s">
        <v>921</v>
      </c>
      <c r="B804" s="37" t="s">
        <v>925</v>
      </c>
      <c r="C804" s="37">
        <v>1.7589999999999999</v>
      </c>
      <c r="D804" s="37" t="s">
        <v>726</v>
      </c>
      <c r="E804" s="37" t="s">
        <v>743</v>
      </c>
      <c r="F804" s="37">
        <v>7.6249999999999994E-4</v>
      </c>
      <c r="G804" s="37" t="s">
        <v>1093</v>
      </c>
      <c r="H804" s="37" t="s">
        <v>926</v>
      </c>
      <c r="I804" s="37" t="s">
        <v>364</v>
      </c>
      <c r="J804" s="22">
        <v>2.6631386160927758E-5</v>
      </c>
      <c r="K804" s="22"/>
    </row>
    <row r="805" spans="1:11" x14ac:dyDescent="0.15">
      <c r="A805" s="37" t="s">
        <v>921</v>
      </c>
      <c r="B805" s="37" t="s">
        <v>925</v>
      </c>
      <c r="C805" s="37">
        <v>1.7589999999999999</v>
      </c>
      <c r="D805" s="37" t="s">
        <v>511</v>
      </c>
      <c r="E805" s="37" t="s">
        <v>743</v>
      </c>
      <c r="F805" s="37">
        <v>3.57E-4</v>
      </c>
      <c r="G805" s="37" t="s">
        <v>1094</v>
      </c>
      <c r="H805" s="37" t="s">
        <v>1118</v>
      </c>
      <c r="I805" s="37" t="s">
        <v>364</v>
      </c>
      <c r="J805" s="22">
        <v>1.5424368143929214E-5</v>
      </c>
      <c r="K805" s="22"/>
    </row>
    <row r="806" spans="1:11" x14ac:dyDescent="0.15">
      <c r="A806" s="37" t="s">
        <v>921</v>
      </c>
      <c r="B806" s="37" t="s">
        <v>925</v>
      </c>
      <c r="C806" s="37">
        <v>1.7589999999999999</v>
      </c>
      <c r="D806" s="37" t="s">
        <v>129</v>
      </c>
      <c r="E806" s="37" t="s">
        <v>743</v>
      </c>
      <c r="F806" s="37">
        <v>2.2709999999999999E-4</v>
      </c>
      <c r="G806" s="37" t="s">
        <v>1095</v>
      </c>
      <c r="H806" s="37">
        <v>0</v>
      </c>
      <c r="I806" s="37" t="s">
        <v>364</v>
      </c>
      <c r="J806" s="22">
        <v>8.8689919824467201E-6</v>
      </c>
      <c r="K806" s="22"/>
    </row>
    <row r="807" spans="1:11" x14ac:dyDescent="0.15">
      <c r="A807" s="37" t="s">
        <v>921</v>
      </c>
      <c r="B807" s="37" t="s">
        <v>925</v>
      </c>
      <c r="C807" s="37">
        <v>1.7589999999999999</v>
      </c>
      <c r="D807" s="37" t="s">
        <v>719</v>
      </c>
      <c r="E807" s="37" t="s">
        <v>743</v>
      </c>
      <c r="F807" s="37">
        <v>4.7780000000000001E-4</v>
      </c>
      <c r="G807" s="37" t="s">
        <v>1096</v>
      </c>
      <c r="H807" s="37" t="s">
        <v>1119</v>
      </c>
      <c r="I807" s="37" t="s">
        <v>364</v>
      </c>
      <c r="J807" s="22">
        <v>4.9050104630066411E-5</v>
      </c>
      <c r="K807" s="22"/>
    </row>
    <row r="808" spans="1:11" x14ac:dyDescent="0.15">
      <c r="A808" s="37" t="s">
        <v>921</v>
      </c>
      <c r="B808" s="37" t="s">
        <v>925</v>
      </c>
      <c r="C808" s="37">
        <v>1.7589999999999999</v>
      </c>
      <c r="D808" s="37" t="s">
        <v>727</v>
      </c>
      <c r="E808" s="37" t="s">
        <v>743</v>
      </c>
      <c r="F808" s="37">
        <v>1.707E-4</v>
      </c>
      <c r="G808" s="37" t="s">
        <v>1097</v>
      </c>
      <c r="H808" s="37" t="s">
        <v>1120</v>
      </c>
      <c r="I808" s="37" t="s">
        <v>364</v>
      </c>
      <c r="J808" s="22">
        <v>4.6785040118686183E-6</v>
      </c>
      <c r="K808" s="22"/>
    </row>
    <row r="809" spans="1:11" x14ac:dyDescent="0.15">
      <c r="A809" s="37" t="s">
        <v>921</v>
      </c>
      <c r="B809" s="37" t="s">
        <v>925</v>
      </c>
      <c r="C809" s="37">
        <v>1.7589999999999999</v>
      </c>
      <c r="D809" s="37" t="s">
        <v>728</v>
      </c>
      <c r="E809" s="37" t="s">
        <v>743</v>
      </c>
      <c r="F809" s="37">
        <v>4.9589999999999996E-4</v>
      </c>
      <c r="G809" s="37" t="s">
        <v>1098</v>
      </c>
      <c r="H809" s="37" t="s">
        <v>1121</v>
      </c>
      <c r="I809" s="37" t="s">
        <v>364</v>
      </c>
      <c r="J809" s="22">
        <v>4.2399905160677482E-5</v>
      </c>
      <c r="K809" s="22"/>
    </row>
    <row r="810" spans="1:11" x14ac:dyDescent="0.15">
      <c r="A810" s="37" t="s">
        <v>921</v>
      </c>
      <c r="B810" s="37" t="s">
        <v>925</v>
      </c>
      <c r="C810" s="37">
        <v>1.7589999999999999</v>
      </c>
      <c r="D810" s="37" t="s">
        <v>730</v>
      </c>
      <c r="E810" s="37" t="s">
        <v>743</v>
      </c>
      <c r="F810" s="37">
        <v>7.8569999999999996E-4</v>
      </c>
      <c r="G810" s="37" t="s">
        <v>1099</v>
      </c>
      <c r="H810" s="37" t="s">
        <v>1122</v>
      </c>
      <c r="I810" s="37" t="s">
        <v>364</v>
      </c>
      <c r="J810" s="22">
        <v>3.2837495909860991E-5</v>
      </c>
      <c r="K810" s="22"/>
    </row>
    <row r="811" spans="1:11" x14ac:dyDescent="0.15">
      <c r="A811" s="37" t="s">
        <v>921</v>
      </c>
      <c r="B811" s="37" t="s">
        <v>925</v>
      </c>
      <c r="C811" s="37">
        <v>1.7589999999999999</v>
      </c>
      <c r="D811" s="37" t="s">
        <v>512</v>
      </c>
      <c r="E811" s="37" t="s">
        <v>743</v>
      </c>
      <c r="F811" s="37">
        <v>4.3859999999999998E-4</v>
      </c>
      <c r="G811" s="37" t="s">
        <v>1100</v>
      </c>
      <c r="H811" s="37">
        <v>0</v>
      </c>
      <c r="I811" s="37" t="s">
        <v>364</v>
      </c>
      <c r="J811" s="22">
        <v>1.9208058097097106E-5</v>
      </c>
      <c r="K811" s="22"/>
    </row>
    <row r="812" spans="1:11" x14ac:dyDescent="0.15">
      <c r="A812" s="37" t="s">
        <v>921</v>
      </c>
      <c r="B812" s="37" t="s">
        <v>925</v>
      </c>
      <c r="C812" s="37">
        <v>1.7589999999999999</v>
      </c>
      <c r="D812" s="37" t="s">
        <v>731</v>
      </c>
      <c r="E812" s="37" t="s">
        <v>743</v>
      </c>
      <c r="F812" s="37">
        <v>1.1175E-3</v>
      </c>
      <c r="G812" s="37" t="s">
        <v>1101</v>
      </c>
      <c r="H812" s="37">
        <v>0</v>
      </c>
      <c r="I812" s="37" t="s">
        <v>364</v>
      </c>
      <c r="J812" s="22">
        <v>3.7606847198961618E-5</v>
      </c>
      <c r="K812" s="22"/>
    </row>
    <row r="813" spans="1:11" x14ac:dyDescent="0.15">
      <c r="A813" s="37" t="s">
        <v>921</v>
      </c>
      <c r="B813" s="37" t="s">
        <v>925</v>
      </c>
      <c r="C813" s="37">
        <v>1.7589999999999999</v>
      </c>
      <c r="D813" s="37" t="s">
        <v>732</v>
      </c>
      <c r="E813" s="37" t="s">
        <v>743</v>
      </c>
      <c r="F813" s="37">
        <v>4.7710000000000005E-4</v>
      </c>
      <c r="G813" s="37" t="s">
        <v>1102</v>
      </c>
      <c r="H813" s="37">
        <v>0</v>
      </c>
      <c r="I813" s="37" t="s">
        <v>364</v>
      </c>
      <c r="J813" s="22">
        <v>1.7979800519943043E-5</v>
      </c>
      <c r="K813" s="22"/>
    </row>
    <row r="814" spans="1:11" x14ac:dyDescent="0.15">
      <c r="A814" s="37" t="s">
        <v>921</v>
      </c>
      <c r="B814" s="37" t="s">
        <v>925</v>
      </c>
      <c r="C814" s="37">
        <v>1.7589999999999999</v>
      </c>
      <c r="D814" s="37" t="s">
        <v>733</v>
      </c>
      <c r="E814" s="37" t="s">
        <v>743</v>
      </c>
      <c r="F814" s="37">
        <v>6.6720000000000006E-4</v>
      </c>
      <c r="G814" s="37" t="s">
        <v>1103</v>
      </c>
      <c r="H814" s="37">
        <v>0</v>
      </c>
      <c r="I814" s="37" t="s">
        <v>364</v>
      </c>
      <c r="J814" s="22">
        <v>2.4035205524062585E-5</v>
      </c>
      <c r="K814" s="22"/>
    </row>
    <row r="815" spans="1:11" x14ac:dyDescent="0.15">
      <c r="A815" s="37" t="s">
        <v>921</v>
      </c>
      <c r="B815" s="37" t="s">
        <v>925</v>
      </c>
      <c r="C815" s="37">
        <v>1.7589999999999999</v>
      </c>
      <c r="D815" s="37" t="s">
        <v>734</v>
      </c>
      <c r="E815" s="37" t="s">
        <v>743</v>
      </c>
      <c r="F815" s="37">
        <v>1.0290999999999998E-3</v>
      </c>
      <c r="G815" s="37" t="s">
        <v>1104</v>
      </c>
      <c r="H815" s="37" t="s">
        <v>1123</v>
      </c>
      <c r="I815" s="37" t="s">
        <v>364</v>
      </c>
      <c r="J815" s="22">
        <v>4.2602846061753348E-5</v>
      </c>
      <c r="K815" s="22"/>
    </row>
    <row r="816" spans="1:11" x14ac:dyDescent="0.15">
      <c r="A816" s="37" t="s">
        <v>921</v>
      </c>
      <c r="B816" s="37" t="s">
        <v>925</v>
      </c>
      <c r="C816" s="37">
        <v>1.7589999999999999</v>
      </c>
      <c r="D816" s="37" t="s">
        <v>513</v>
      </c>
      <c r="E816" s="37" t="s">
        <v>743</v>
      </c>
      <c r="F816" s="37">
        <v>1.1505E-3</v>
      </c>
      <c r="G816" s="37" t="s">
        <v>1105</v>
      </c>
      <c r="H816" s="37" t="s">
        <v>1124</v>
      </c>
      <c r="I816" s="37" t="s">
        <v>364</v>
      </c>
      <c r="J816" s="22">
        <v>6.0744728007975863E-5</v>
      </c>
      <c r="K816" s="22"/>
    </row>
    <row r="817" spans="1:11" x14ac:dyDescent="0.15">
      <c r="A817" s="37" t="s">
        <v>921</v>
      </c>
      <c r="B817" s="37" t="s">
        <v>925</v>
      </c>
      <c r="C817" s="37">
        <v>1.7589999999999999</v>
      </c>
      <c r="D817" s="37" t="s">
        <v>111</v>
      </c>
      <c r="E817" s="37" t="s">
        <v>743</v>
      </c>
      <c r="F817" s="37">
        <v>1.3960000000000001E-4</v>
      </c>
      <c r="G817" s="37" t="s">
        <v>1106</v>
      </c>
      <c r="H817" s="37" t="s">
        <v>1125</v>
      </c>
      <c r="I817" s="37" t="s">
        <v>364</v>
      </c>
      <c r="J817" s="22">
        <v>6.7374823643824695E-6</v>
      </c>
      <c r="K817" s="22"/>
    </row>
    <row r="818" spans="1:11" x14ac:dyDescent="0.15">
      <c r="A818" s="37" t="s">
        <v>921</v>
      </c>
      <c r="B818" s="37" t="s">
        <v>925</v>
      </c>
      <c r="C818" s="37">
        <v>1.7589999999999999</v>
      </c>
      <c r="D818" s="37" t="s">
        <v>735</v>
      </c>
      <c r="E818" s="37" t="s">
        <v>743</v>
      </c>
      <c r="F818" s="37">
        <v>1.719E-4</v>
      </c>
      <c r="G818" s="37" t="s">
        <v>1107</v>
      </c>
      <c r="H818" s="37">
        <v>0</v>
      </c>
      <c r="I818" s="37" t="s">
        <v>364</v>
      </c>
      <c r="J818" s="22">
        <v>6.2015224214437747E-6</v>
      </c>
      <c r="K818" s="22"/>
    </row>
    <row r="819" spans="1:11" x14ac:dyDescent="0.15">
      <c r="A819" s="37" t="s">
        <v>921</v>
      </c>
      <c r="B819" s="37" t="s">
        <v>925</v>
      </c>
      <c r="C819" s="37">
        <v>1.7589999999999999</v>
      </c>
      <c r="D819" s="37" t="s">
        <v>786</v>
      </c>
      <c r="E819" s="37" t="s">
        <v>743</v>
      </c>
      <c r="F819" s="37">
        <v>1.27E-4</v>
      </c>
      <c r="G819" s="37" t="s">
        <v>1108</v>
      </c>
      <c r="H819" s="37" t="s">
        <v>1126</v>
      </c>
      <c r="I819" s="37" t="s">
        <v>364</v>
      </c>
      <c r="J819" s="22">
        <v>9.3443023200203877E-6</v>
      </c>
      <c r="K819" s="22"/>
    </row>
    <row r="820" spans="1:11" x14ac:dyDescent="0.15">
      <c r="A820" s="37" t="s">
        <v>921</v>
      </c>
      <c r="B820" s="37" t="s">
        <v>925</v>
      </c>
      <c r="C820" s="37">
        <v>1.7589999999999999</v>
      </c>
      <c r="D820" s="37" t="s">
        <v>718</v>
      </c>
      <c r="E820" s="37" t="s">
        <v>743</v>
      </c>
      <c r="F820" s="37">
        <v>1.429E-4</v>
      </c>
      <c r="G820" s="37" t="s">
        <v>1109</v>
      </c>
      <c r="H820" s="37">
        <v>0</v>
      </c>
      <c r="I820" s="37" t="s">
        <v>364</v>
      </c>
      <c r="J820" s="22">
        <v>3.256312095524565E-5</v>
      </c>
      <c r="K820" s="22"/>
    </row>
    <row r="821" spans="1:11" x14ac:dyDescent="0.15">
      <c r="A821" s="43" t="s">
        <v>842</v>
      </c>
      <c r="B821" s="43" t="s">
        <v>925</v>
      </c>
      <c r="C821" s="43">
        <v>3.79</v>
      </c>
      <c r="D821" s="43" t="s">
        <v>843</v>
      </c>
      <c r="E821" s="43" t="s">
        <v>742</v>
      </c>
      <c r="F821" s="43">
        <v>6.6500000000000001E-4</v>
      </c>
      <c r="G821" s="43">
        <v>2.4666669999999998E-2</v>
      </c>
      <c r="H821" s="43">
        <v>0</v>
      </c>
      <c r="I821" s="43" t="s">
        <v>859</v>
      </c>
      <c r="J821" s="22">
        <f t="shared" ref="J821:J841" si="17">F821*COS(RADIANS(H821))/(1060*G821)</f>
        <v>2.5433448883292223E-5</v>
      </c>
      <c r="K821" s="22" t="s">
        <v>858</v>
      </c>
    </row>
    <row r="822" spans="1:11" x14ac:dyDescent="0.15">
      <c r="A822" s="43" t="s">
        <v>842</v>
      </c>
      <c r="B822" s="43" t="s">
        <v>925</v>
      </c>
      <c r="C822" s="43">
        <v>3.79</v>
      </c>
      <c r="D822" s="43" t="s">
        <v>844</v>
      </c>
      <c r="E822" s="43" t="s">
        <v>742</v>
      </c>
      <c r="F822" s="43">
        <v>2.2899999999999999E-3</v>
      </c>
      <c r="G822" s="43">
        <v>4.7166670000000001E-2</v>
      </c>
      <c r="H822" s="43">
        <v>12.83333</v>
      </c>
      <c r="I822" s="43" t="s">
        <v>859</v>
      </c>
      <c r="J822" s="22">
        <f t="shared" si="17"/>
        <v>4.4658904326090383E-5</v>
      </c>
      <c r="K822" s="22"/>
    </row>
    <row r="823" spans="1:11" x14ac:dyDescent="0.15">
      <c r="A823" s="43" t="s">
        <v>842</v>
      </c>
      <c r="B823" s="43" t="s">
        <v>925</v>
      </c>
      <c r="C823" s="43">
        <v>3.79</v>
      </c>
      <c r="D823" s="43" t="s">
        <v>845</v>
      </c>
      <c r="E823" s="43" t="s">
        <v>742</v>
      </c>
      <c r="F823" s="43">
        <v>1.635E-3</v>
      </c>
      <c r="G823" s="43">
        <v>4.2333329999999995E-2</v>
      </c>
      <c r="H823" s="43">
        <v>0</v>
      </c>
      <c r="I823" s="43" t="s">
        <v>859</v>
      </c>
      <c r="J823" s="22">
        <f t="shared" si="17"/>
        <v>3.6435896495472468E-5</v>
      </c>
      <c r="K823" s="22"/>
    </row>
    <row r="824" spans="1:11" x14ac:dyDescent="0.15">
      <c r="A824" s="43" t="s">
        <v>842</v>
      </c>
      <c r="B824" s="43" t="s">
        <v>925</v>
      </c>
      <c r="C824" s="43">
        <v>3.79</v>
      </c>
      <c r="D824" s="43" t="s">
        <v>846</v>
      </c>
      <c r="E824" s="43" t="s">
        <v>742</v>
      </c>
      <c r="F824" s="43">
        <v>4.2950000000000002E-3</v>
      </c>
      <c r="G824" s="43">
        <v>4.0666670000000002E-2</v>
      </c>
      <c r="H824" s="43">
        <v>7.6666670000000003</v>
      </c>
      <c r="I824" s="43" t="s">
        <v>859</v>
      </c>
      <c r="J824" s="22">
        <f t="shared" si="17"/>
        <v>9.8745899292129293E-5</v>
      </c>
      <c r="K824" s="22"/>
    </row>
    <row r="825" spans="1:11" x14ac:dyDescent="0.15">
      <c r="A825" s="43" t="s">
        <v>842</v>
      </c>
      <c r="B825" s="43" t="s">
        <v>925</v>
      </c>
      <c r="C825" s="43">
        <v>3.79</v>
      </c>
      <c r="D825" s="43" t="s">
        <v>847</v>
      </c>
      <c r="E825" s="43" t="s">
        <v>742</v>
      </c>
      <c r="F825" s="43">
        <v>1.66E-3</v>
      </c>
      <c r="G825" s="43">
        <v>2.5000000000000001E-2</v>
      </c>
      <c r="H825" s="43">
        <v>0</v>
      </c>
      <c r="I825" s="43" t="s">
        <v>859</v>
      </c>
      <c r="J825" s="22">
        <f t="shared" si="17"/>
        <v>6.2641509433962271E-5</v>
      </c>
      <c r="K825" s="22"/>
    </row>
    <row r="826" spans="1:11" x14ac:dyDescent="0.15">
      <c r="A826" s="43" t="s">
        <v>842</v>
      </c>
      <c r="B826" s="43" t="s">
        <v>925</v>
      </c>
      <c r="C826" s="43">
        <v>3.79</v>
      </c>
      <c r="D826" s="43" t="s">
        <v>848</v>
      </c>
      <c r="E826" s="43" t="s">
        <v>742</v>
      </c>
      <c r="F826" s="43">
        <v>4.9450000000000006E-3</v>
      </c>
      <c r="G826" s="43">
        <v>3.0499999999999999E-2</v>
      </c>
      <c r="H826" s="43">
        <v>17.16667</v>
      </c>
      <c r="I826" s="43" t="s">
        <v>859</v>
      </c>
      <c r="J826" s="22">
        <f t="shared" si="17"/>
        <v>1.4613984949520787E-4</v>
      </c>
      <c r="K826" s="22"/>
    </row>
    <row r="827" spans="1:11" x14ac:dyDescent="0.15">
      <c r="A827" s="43" t="s">
        <v>842</v>
      </c>
      <c r="B827" s="43" t="s">
        <v>925</v>
      </c>
      <c r="C827" s="43">
        <v>3.79</v>
      </c>
      <c r="D827" s="43" t="s">
        <v>579</v>
      </c>
      <c r="E827" s="43" t="s">
        <v>742</v>
      </c>
      <c r="F827" s="43">
        <v>2.2599999999999999E-3</v>
      </c>
      <c r="G827" s="43">
        <v>0.03</v>
      </c>
      <c r="H827" s="43">
        <v>16</v>
      </c>
      <c r="I827" s="43" t="s">
        <v>859</v>
      </c>
      <c r="J827" s="22">
        <f t="shared" si="17"/>
        <v>6.8316082793100651E-5</v>
      </c>
      <c r="K827" s="22"/>
    </row>
    <row r="828" spans="1:11" x14ac:dyDescent="0.15">
      <c r="A828" s="43" t="s">
        <v>842</v>
      </c>
      <c r="B828" s="43" t="s">
        <v>925</v>
      </c>
      <c r="C828" s="43">
        <v>3.79</v>
      </c>
      <c r="D828" s="43" t="s">
        <v>480</v>
      </c>
      <c r="E828" s="43" t="s">
        <v>742</v>
      </c>
      <c r="F828" s="43">
        <v>1.7170000000000001E-2</v>
      </c>
      <c r="G828" s="43">
        <v>7.9833330000000008E-2</v>
      </c>
      <c r="H828" s="43">
        <v>11.66667</v>
      </c>
      <c r="I828" s="43" t="s">
        <v>859</v>
      </c>
      <c r="J828" s="22">
        <f t="shared" si="17"/>
        <v>1.9870735781088721E-4</v>
      </c>
      <c r="K828" s="22"/>
    </row>
    <row r="829" spans="1:11" x14ac:dyDescent="0.15">
      <c r="A829" s="43" t="s">
        <v>842</v>
      </c>
      <c r="B829" s="43" t="s">
        <v>925</v>
      </c>
      <c r="C829" s="43">
        <v>3.79</v>
      </c>
      <c r="D829" s="43" t="s">
        <v>849</v>
      </c>
      <c r="E829" s="43" t="s">
        <v>742</v>
      </c>
      <c r="F829" s="43">
        <v>5.8150000000000007E-3</v>
      </c>
      <c r="G829" s="43">
        <v>3.933333E-2</v>
      </c>
      <c r="H829" s="43">
        <v>0</v>
      </c>
      <c r="I829" s="43" t="s">
        <v>859</v>
      </c>
      <c r="J829" s="22">
        <f t="shared" si="17"/>
        <v>1.3947075054676972E-4</v>
      </c>
      <c r="K829" s="22"/>
    </row>
    <row r="830" spans="1:11" x14ac:dyDescent="0.15">
      <c r="A830" s="43" t="s">
        <v>842</v>
      </c>
      <c r="B830" s="43" t="s">
        <v>925</v>
      </c>
      <c r="C830" s="43">
        <v>3.79</v>
      </c>
      <c r="D830" s="43" t="s">
        <v>850</v>
      </c>
      <c r="E830" s="43" t="s">
        <v>742</v>
      </c>
      <c r="F830" s="43">
        <v>1.6999999999999999E-3</v>
      </c>
      <c r="G830" s="43">
        <v>3.2833329999999994E-2</v>
      </c>
      <c r="H830" s="43">
        <v>14.66667</v>
      </c>
      <c r="I830" s="43" t="s">
        <v>859</v>
      </c>
      <c r="J830" s="22">
        <f t="shared" si="17"/>
        <v>4.7254267263971966E-5</v>
      </c>
      <c r="K830" s="22"/>
    </row>
    <row r="831" spans="1:11" x14ac:dyDescent="0.15">
      <c r="A831" s="43" t="s">
        <v>842</v>
      </c>
      <c r="B831" s="43" t="s">
        <v>925</v>
      </c>
      <c r="C831" s="43">
        <v>3.79</v>
      </c>
      <c r="D831" s="43" t="s">
        <v>851</v>
      </c>
      <c r="E831" s="43" t="s">
        <v>742</v>
      </c>
      <c r="F831" s="43">
        <v>9.9500000000000001E-4</v>
      </c>
      <c r="G831" s="43">
        <v>2.4500000000000001E-2</v>
      </c>
      <c r="H831" s="43">
        <v>11.83333</v>
      </c>
      <c r="I831" s="43" t="s">
        <v>859</v>
      </c>
      <c r="J831" s="22">
        <f t="shared" si="17"/>
        <v>3.7499211503362582E-5</v>
      </c>
      <c r="K831" s="22"/>
    </row>
    <row r="832" spans="1:11" x14ac:dyDescent="0.15">
      <c r="A832" s="43" t="s">
        <v>842</v>
      </c>
      <c r="B832" s="43" t="s">
        <v>925</v>
      </c>
      <c r="C832" s="43">
        <v>3.79</v>
      </c>
      <c r="D832" s="43" t="s">
        <v>484</v>
      </c>
      <c r="E832" s="43" t="s">
        <v>742</v>
      </c>
      <c r="F832" s="43">
        <v>7.6449999999999999E-3</v>
      </c>
      <c r="G832" s="43">
        <v>3.1E-2</v>
      </c>
      <c r="H832" s="43">
        <v>18.83333</v>
      </c>
      <c r="I832" s="43" t="s">
        <v>859</v>
      </c>
      <c r="J832" s="22">
        <f t="shared" si="17"/>
        <v>2.2019778385799131E-4</v>
      </c>
      <c r="K832" s="22"/>
    </row>
    <row r="833" spans="1:11" x14ac:dyDescent="0.15">
      <c r="A833" s="43" t="s">
        <v>842</v>
      </c>
      <c r="B833" s="43" t="s">
        <v>925</v>
      </c>
      <c r="C833" s="43">
        <v>3.79</v>
      </c>
      <c r="D833" s="43" t="s">
        <v>852</v>
      </c>
      <c r="E833" s="43" t="s">
        <v>742</v>
      </c>
      <c r="F833" s="43">
        <v>1.0950000000000001E-3</v>
      </c>
      <c r="G833" s="43">
        <v>2.7666670000000001E-2</v>
      </c>
      <c r="H833" s="43">
        <v>0</v>
      </c>
      <c r="I833" s="43" t="s">
        <v>859</v>
      </c>
      <c r="J833" s="22">
        <f t="shared" si="17"/>
        <v>3.7338026872208628E-5</v>
      </c>
      <c r="K833" s="22"/>
    </row>
    <row r="834" spans="1:11" x14ac:dyDescent="0.15">
      <c r="A834" s="43" t="s">
        <v>842</v>
      </c>
      <c r="B834" s="43" t="s">
        <v>925</v>
      </c>
      <c r="C834" s="43">
        <v>3.79</v>
      </c>
      <c r="D834" s="43" t="s">
        <v>578</v>
      </c>
      <c r="E834" s="43" t="s">
        <v>742</v>
      </c>
      <c r="F834" s="43">
        <v>1.9499999999999999E-3</v>
      </c>
      <c r="G834" s="43">
        <v>2.5833330000000002E-2</v>
      </c>
      <c r="H834" s="43">
        <v>24.33333</v>
      </c>
      <c r="I834" s="43" t="s">
        <v>859</v>
      </c>
      <c r="J834" s="22">
        <f t="shared" si="17"/>
        <v>6.488507059555402E-5</v>
      </c>
      <c r="K834" s="22"/>
    </row>
    <row r="835" spans="1:11" x14ac:dyDescent="0.15">
      <c r="A835" s="43" t="s">
        <v>842</v>
      </c>
      <c r="B835" s="43" t="s">
        <v>925</v>
      </c>
      <c r="C835" s="43">
        <v>3.79</v>
      </c>
      <c r="D835" s="43" t="s">
        <v>482</v>
      </c>
      <c r="E835" s="43" t="s">
        <v>742</v>
      </c>
      <c r="F835" s="43">
        <v>2.2400000000000002E-3</v>
      </c>
      <c r="G835" s="43">
        <v>3.6166670000000005E-2</v>
      </c>
      <c r="H835" s="43">
        <v>22.16667</v>
      </c>
      <c r="I835" s="43" t="s">
        <v>859</v>
      </c>
      <c r="J835" s="22">
        <f t="shared" si="17"/>
        <v>5.4111170668225135E-5</v>
      </c>
      <c r="K835" s="22"/>
    </row>
    <row r="836" spans="1:11" x14ac:dyDescent="0.15">
      <c r="A836" s="43" t="s">
        <v>842</v>
      </c>
      <c r="B836" s="43" t="s">
        <v>925</v>
      </c>
      <c r="C836" s="43">
        <v>3.79</v>
      </c>
      <c r="D836" s="43" t="s">
        <v>582</v>
      </c>
      <c r="E836" s="43" t="s">
        <v>742</v>
      </c>
      <c r="F836" s="43">
        <v>4.8999999999999998E-4</v>
      </c>
      <c r="G836" s="43">
        <v>2.5166669999999999E-2</v>
      </c>
      <c r="H836" s="43">
        <v>0</v>
      </c>
      <c r="I836" s="43" t="s">
        <v>859</v>
      </c>
      <c r="J836" s="22">
        <f t="shared" si="17"/>
        <v>1.8368109525153555E-5</v>
      </c>
      <c r="K836" s="22"/>
    </row>
    <row r="837" spans="1:11" x14ac:dyDescent="0.15">
      <c r="A837" s="43" t="s">
        <v>842</v>
      </c>
      <c r="B837" s="43" t="s">
        <v>925</v>
      </c>
      <c r="C837" s="43">
        <v>3.79</v>
      </c>
      <c r="D837" s="43" t="s">
        <v>853</v>
      </c>
      <c r="E837" s="43" t="s">
        <v>742</v>
      </c>
      <c r="F837" s="43">
        <v>5.5599999999999998E-3</v>
      </c>
      <c r="G837" s="43">
        <v>2.783333E-2</v>
      </c>
      <c r="H837" s="43">
        <v>27.16667</v>
      </c>
      <c r="I837" s="43" t="s">
        <v>859</v>
      </c>
      <c r="J837" s="22">
        <f t="shared" si="17"/>
        <v>1.6766353657294474E-4</v>
      </c>
      <c r="K837" s="22"/>
    </row>
    <row r="838" spans="1:11" x14ac:dyDescent="0.15">
      <c r="A838" s="43" t="s">
        <v>842</v>
      </c>
      <c r="B838" s="43" t="s">
        <v>925</v>
      </c>
      <c r="C838" s="43">
        <v>3.79</v>
      </c>
      <c r="D838" s="43" t="s">
        <v>854</v>
      </c>
      <c r="E838" s="43" t="s">
        <v>742</v>
      </c>
      <c r="F838" s="43">
        <v>6.8999999999999997E-4</v>
      </c>
      <c r="G838" s="43">
        <v>2.616667E-2</v>
      </c>
      <c r="H838" s="43">
        <v>17.33333</v>
      </c>
      <c r="I838" s="43" t="s">
        <v>859</v>
      </c>
      <c r="J838" s="22">
        <f t="shared" si="17"/>
        <v>2.3747099902807437E-5</v>
      </c>
      <c r="K838" s="22"/>
    </row>
    <row r="839" spans="1:11" x14ac:dyDescent="0.15">
      <c r="A839" s="43" t="s">
        <v>842</v>
      </c>
      <c r="B839" s="43" t="s">
        <v>925</v>
      </c>
      <c r="C839" s="43">
        <v>3.79</v>
      </c>
      <c r="D839" s="43" t="s">
        <v>855</v>
      </c>
      <c r="E839" s="43" t="s">
        <v>742</v>
      </c>
      <c r="F839" s="43">
        <v>3.9100000000000003E-3</v>
      </c>
      <c r="G839" s="43">
        <v>2.8666669999999998E-2</v>
      </c>
      <c r="H839" s="43">
        <v>13.5</v>
      </c>
      <c r="I839" s="43" t="s">
        <v>859</v>
      </c>
      <c r="J839" s="22">
        <f t="shared" si="17"/>
        <v>1.2511954629220665E-4</v>
      </c>
      <c r="K839" s="22"/>
    </row>
    <row r="840" spans="1:11" x14ac:dyDescent="0.15">
      <c r="A840" s="43" t="s">
        <v>842</v>
      </c>
      <c r="B840" s="43" t="s">
        <v>925</v>
      </c>
      <c r="C840" s="43">
        <v>3.79</v>
      </c>
      <c r="D840" s="43" t="s">
        <v>856</v>
      </c>
      <c r="E840" s="43" t="s">
        <v>742</v>
      </c>
      <c r="F840" s="43">
        <v>2.31E-3</v>
      </c>
      <c r="G840" s="43">
        <v>3.6999999999999998E-2</v>
      </c>
      <c r="H840" s="43">
        <v>14.16667</v>
      </c>
      <c r="I840" s="43" t="s">
        <v>859</v>
      </c>
      <c r="J840" s="22">
        <f t="shared" si="17"/>
        <v>5.7107292601410001E-5</v>
      </c>
      <c r="K840" s="22"/>
    </row>
    <row r="841" spans="1:11" x14ac:dyDescent="0.15">
      <c r="A841" s="43" t="s">
        <v>842</v>
      </c>
      <c r="B841" s="43" t="s">
        <v>925</v>
      </c>
      <c r="C841" s="43">
        <v>3.79</v>
      </c>
      <c r="D841" s="43" t="s">
        <v>857</v>
      </c>
      <c r="E841" s="43" t="s">
        <v>742</v>
      </c>
      <c r="F841" s="43">
        <v>1.3600000000000001E-3</v>
      </c>
      <c r="G841" s="43">
        <v>2.1000000000000001E-2</v>
      </c>
      <c r="H841" s="43">
        <v>0</v>
      </c>
      <c r="I841" s="43" t="s">
        <v>859</v>
      </c>
      <c r="J841" s="22">
        <f t="shared" si="17"/>
        <v>6.1096136567834677E-5</v>
      </c>
      <c r="K841" s="22"/>
    </row>
    <row r="842" spans="1:11" x14ac:dyDescent="0.15">
      <c r="A842" s="24" t="s">
        <v>860</v>
      </c>
      <c r="B842" s="24" t="s">
        <v>925</v>
      </c>
      <c r="C842" s="24">
        <v>7.6</v>
      </c>
      <c r="D842" s="24" t="s">
        <v>526</v>
      </c>
      <c r="E842" s="24" t="s">
        <v>742</v>
      </c>
      <c r="F842" s="24">
        <v>1.3900000000000001E-2</v>
      </c>
      <c r="G842" s="24">
        <v>4.4999999999999998E-2</v>
      </c>
      <c r="H842" s="24">
        <v>6</v>
      </c>
      <c r="I842" s="24" t="s">
        <v>861</v>
      </c>
      <c r="J842" s="22">
        <f t="shared" ref="J842:J874" si="18">F842*COS(RADIANS(H842))/(1060*G842)</f>
        <v>2.8980826720375268E-4</v>
      </c>
      <c r="K842" s="22" t="s">
        <v>360</v>
      </c>
    </row>
    <row r="843" spans="1:11" x14ac:dyDescent="0.15">
      <c r="A843" s="24" t="s">
        <v>860</v>
      </c>
      <c r="B843" s="24" t="s">
        <v>925</v>
      </c>
      <c r="C843" s="24">
        <v>7.6</v>
      </c>
      <c r="D843" s="24" t="s">
        <v>519</v>
      </c>
      <c r="E843" s="24" t="s">
        <v>742</v>
      </c>
      <c r="F843" s="24">
        <v>1.09E-2</v>
      </c>
      <c r="G843" s="24">
        <v>2.8999999999999998E-2</v>
      </c>
      <c r="H843" s="24">
        <v>14</v>
      </c>
      <c r="I843" s="24" t="s">
        <v>861</v>
      </c>
      <c r="J843" s="22">
        <f t="shared" si="18"/>
        <v>3.4405411244008984E-4</v>
      </c>
      <c r="K843" s="22"/>
    </row>
    <row r="844" spans="1:11" x14ac:dyDescent="0.15">
      <c r="A844" s="24" t="s">
        <v>860</v>
      </c>
      <c r="B844" s="24" t="s">
        <v>925</v>
      </c>
      <c r="C844" s="24">
        <v>8.6</v>
      </c>
      <c r="D844" s="24" t="s">
        <v>529</v>
      </c>
      <c r="E844" s="24" t="s">
        <v>742</v>
      </c>
      <c r="F844" s="24">
        <v>7.4000000000000003E-3</v>
      </c>
      <c r="G844" s="24">
        <v>5.0999999999999997E-2</v>
      </c>
      <c r="H844" s="24">
        <v>0</v>
      </c>
      <c r="I844" s="24" t="s">
        <v>861</v>
      </c>
      <c r="J844" s="22">
        <f t="shared" si="18"/>
        <v>1.3688494265630782E-4</v>
      </c>
      <c r="K844" s="22"/>
    </row>
    <row r="845" spans="1:11" x14ac:dyDescent="0.15">
      <c r="A845" s="24" t="s">
        <v>860</v>
      </c>
      <c r="B845" s="24" t="s">
        <v>925</v>
      </c>
      <c r="C845" s="24">
        <v>9.6</v>
      </c>
      <c r="D845" s="24" t="s">
        <v>528</v>
      </c>
      <c r="E845" s="24" t="s">
        <v>742</v>
      </c>
      <c r="F845" s="24">
        <v>4.9000000000000007E-3</v>
      </c>
      <c r="G845" s="24">
        <v>5.7000000000000002E-2</v>
      </c>
      <c r="H845" s="24">
        <v>0</v>
      </c>
      <c r="I845" s="24" t="s">
        <v>861</v>
      </c>
      <c r="J845" s="22">
        <f t="shared" si="18"/>
        <v>8.1098973849718641E-5</v>
      </c>
      <c r="K845" s="22"/>
    </row>
    <row r="846" spans="1:11" x14ac:dyDescent="0.15">
      <c r="A846" s="24" t="s">
        <v>860</v>
      </c>
      <c r="B846" s="24" t="s">
        <v>925</v>
      </c>
      <c r="C846" s="24">
        <v>10.6</v>
      </c>
      <c r="D846" s="24" t="s">
        <v>525</v>
      </c>
      <c r="E846" s="24" t="s">
        <v>742</v>
      </c>
      <c r="F846" s="24">
        <v>1.61E-2</v>
      </c>
      <c r="G846" s="24">
        <v>1.1000000000000001E-2</v>
      </c>
      <c r="H846" s="24">
        <v>21</v>
      </c>
      <c r="I846" s="24" t="s">
        <v>861</v>
      </c>
      <c r="J846" s="22">
        <f t="shared" si="18"/>
        <v>1.2890776043400468E-3</v>
      </c>
      <c r="K846" s="22"/>
    </row>
    <row r="847" spans="1:11" x14ac:dyDescent="0.15">
      <c r="A847" s="24" t="s">
        <v>860</v>
      </c>
      <c r="B847" s="24" t="s">
        <v>925</v>
      </c>
      <c r="C847" s="24">
        <v>11.6</v>
      </c>
      <c r="D847" s="24" t="s">
        <v>876</v>
      </c>
      <c r="E847" s="24" t="s">
        <v>742</v>
      </c>
      <c r="F847" s="24">
        <v>1.4E-3</v>
      </c>
      <c r="G847" s="24">
        <v>4.4999999999999998E-2</v>
      </c>
      <c r="H847" s="24">
        <v>0</v>
      </c>
      <c r="I847" s="24" t="s">
        <v>861</v>
      </c>
      <c r="J847" s="22">
        <f t="shared" si="18"/>
        <v>2.9350104821802939E-5</v>
      </c>
      <c r="K847" s="22"/>
    </row>
    <row r="848" spans="1:11" x14ac:dyDescent="0.15">
      <c r="A848" s="24" t="s">
        <v>860</v>
      </c>
      <c r="B848" s="24" t="s">
        <v>925</v>
      </c>
      <c r="C848" s="24">
        <v>12.6</v>
      </c>
      <c r="D848" s="24" t="s">
        <v>862</v>
      </c>
      <c r="E848" s="24" t="s">
        <v>742</v>
      </c>
      <c r="F848" s="24">
        <v>1.7899999999999999E-2</v>
      </c>
      <c r="G848" s="24">
        <v>9.3000000000000013E-2</v>
      </c>
      <c r="H848" s="24">
        <v>0</v>
      </c>
      <c r="I848" s="24" t="s">
        <v>861</v>
      </c>
      <c r="J848" s="22">
        <f t="shared" si="18"/>
        <v>1.8157841347129231E-4</v>
      </c>
      <c r="K848" s="22"/>
    </row>
    <row r="849" spans="1:11" x14ac:dyDescent="0.15">
      <c r="A849" s="24" t="s">
        <v>860</v>
      </c>
      <c r="B849" s="24" t="s">
        <v>925</v>
      </c>
      <c r="C849" s="24">
        <v>13.6</v>
      </c>
      <c r="D849" s="24" t="s">
        <v>863</v>
      </c>
      <c r="E849" s="24" t="s">
        <v>742</v>
      </c>
      <c r="F849" s="24">
        <v>2.4799999999999999E-2</v>
      </c>
      <c r="G849" s="24">
        <v>4.2000000000000003E-2</v>
      </c>
      <c r="H849" s="24">
        <v>11</v>
      </c>
      <c r="I849" s="24" t="s">
        <v>861</v>
      </c>
      <c r="J849" s="22">
        <f t="shared" si="18"/>
        <v>5.4681837712268792E-4</v>
      </c>
      <c r="K849" s="22"/>
    </row>
    <row r="850" spans="1:11" x14ac:dyDescent="0.15">
      <c r="A850" s="24" t="s">
        <v>860</v>
      </c>
      <c r="B850" s="24" t="s">
        <v>925</v>
      </c>
      <c r="C850" s="24">
        <v>14.6</v>
      </c>
      <c r="D850" s="24" t="s">
        <v>864</v>
      </c>
      <c r="E850" s="24" t="s">
        <v>742</v>
      </c>
      <c r="F850" s="24">
        <v>2.35E-2</v>
      </c>
      <c r="G850" s="24">
        <v>5.4000000000000006E-2</v>
      </c>
      <c r="H850" s="24">
        <v>5</v>
      </c>
      <c r="I850" s="24" t="s">
        <v>861</v>
      </c>
      <c r="J850" s="22">
        <f t="shared" si="18"/>
        <v>4.0898978695241118E-4</v>
      </c>
      <c r="K850" s="22"/>
    </row>
    <row r="851" spans="1:11" x14ac:dyDescent="0.15">
      <c r="A851" s="24" t="s">
        <v>860</v>
      </c>
      <c r="B851" s="24" t="s">
        <v>925</v>
      </c>
      <c r="C851" s="24">
        <v>16.600000000000001</v>
      </c>
      <c r="D851" s="24" t="s">
        <v>502</v>
      </c>
      <c r="E851" s="24" t="s">
        <v>742</v>
      </c>
      <c r="F851" s="24">
        <v>5.4000000000000003E-3</v>
      </c>
      <c r="G851" s="24">
        <v>5.7999999999999996E-2</v>
      </c>
      <c r="H851" s="24">
        <v>0</v>
      </c>
      <c r="I851" s="24" t="s">
        <v>861</v>
      </c>
      <c r="J851" s="22">
        <f t="shared" si="18"/>
        <v>8.7833441769681204E-5</v>
      </c>
      <c r="K851" s="22"/>
    </row>
    <row r="852" spans="1:11" x14ac:dyDescent="0.15">
      <c r="A852" s="24" t="s">
        <v>860</v>
      </c>
      <c r="B852" s="24" t="s">
        <v>925</v>
      </c>
      <c r="C852" s="24">
        <v>17.600000000000001</v>
      </c>
      <c r="D852" s="24" t="s">
        <v>501</v>
      </c>
      <c r="E852" s="24" t="s">
        <v>742</v>
      </c>
      <c r="F852" s="24">
        <v>6.7000000000000002E-3</v>
      </c>
      <c r="G852" s="24">
        <v>5.2000000000000005E-2</v>
      </c>
      <c r="H852" s="24">
        <v>0</v>
      </c>
      <c r="I852" s="24" t="s">
        <v>861</v>
      </c>
      <c r="J852" s="22">
        <f t="shared" si="18"/>
        <v>1.2155297532656023E-4</v>
      </c>
      <c r="K852" s="22"/>
    </row>
    <row r="853" spans="1:11" x14ac:dyDescent="0.15">
      <c r="A853" s="24" t="s">
        <v>860</v>
      </c>
      <c r="B853" s="24" t="s">
        <v>925</v>
      </c>
      <c r="C853" s="24">
        <v>15.6</v>
      </c>
      <c r="D853" s="24" t="s">
        <v>729</v>
      </c>
      <c r="E853" s="24" t="s">
        <v>743</v>
      </c>
      <c r="F853" s="24">
        <v>3.0999999999999999E-3</v>
      </c>
      <c r="G853" s="24">
        <v>2.8999999999999998E-2</v>
      </c>
      <c r="H853" s="24">
        <v>0</v>
      </c>
      <c r="I853" s="24" t="s">
        <v>861</v>
      </c>
      <c r="J853" s="22">
        <f>F853*COS(RADIANS(H853))/(1060*G853)</f>
        <v>1.0084580351333767E-4</v>
      </c>
      <c r="K853" s="22"/>
    </row>
    <row r="854" spans="1:11" x14ac:dyDescent="0.15">
      <c r="A854" s="24" t="s">
        <v>860</v>
      </c>
      <c r="B854" s="24" t="s">
        <v>925</v>
      </c>
      <c r="C854" s="24">
        <v>18.600000000000001</v>
      </c>
      <c r="D854" s="24" t="s">
        <v>716</v>
      </c>
      <c r="E854" s="24" t="s">
        <v>743</v>
      </c>
      <c r="F854" s="24">
        <v>4.7999999999999996E-3</v>
      </c>
      <c r="G854" s="24">
        <v>7.8E-2</v>
      </c>
      <c r="H854" s="24">
        <v>0</v>
      </c>
      <c r="I854" s="24" t="s">
        <v>861</v>
      </c>
      <c r="J854" s="22">
        <f t="shared" si="18"/>
        <v>5.8055152394775028E-5</v>
      </c>
      <c r="K854" s="22"/>
    </row>
    <row r="855" spans="1:11" x14ac:dyDescent="0.15">
      <c r="A855" s="24" t="s">
        <v>860</v>
      </c>
      <c r="B855" s="24" t="s">
        <v>925</v>
      </c>
      <c r="C855" s="24">
        <v>19.600000000000001</v>
      </c>
      <c r="D855" s="24" t="s">
        <v>513</v>
      </c>
      <c r="E855" s="24" t="s">
        <v>743</v>
      </c>
      <c r="F855" s="24">
        <v>2E-3</v>
      </c>
      <c r="G855" s="24">
        <v>1.9E-2</v>
      </c>
      <c r="H855" s="24">
        <v>13</v>
      </c>
      <c r="I855" s="24" t="s">
        <v>861</v>
      </c>
      <c r="J855" s="22">
        <f t="shared" si="18"/>
        <v>9.6759688657918098E-5</v>
      </c>
      <c r="K855" s="22"/>
    </row>
    <row r="856" spans="1:11" x14ac:dyDescent="0.15">
      <c r="A856" s="24" t="s">
        <v>860</v>
      </c>
      <c r="B856" s="24" t="s">
        <v>925</v>
      </c>
      <c r="C856" s="24">
        <v>20.6</v>
      </c>
      <c r="D856" s="24" t="s">
        <v>512</v>
      </c>
      <c r="E856" s="24" t="s">
        <v>743</v>
      </c>
      <c r="F856" s="24">
        <v>1.9E-3</v>
      </c>
      <c r="G856" s="24">
        <v>1.9E-2</v>
      </c>
      <c r="H856" s="24">
        <v>13</v>
      </c>
      <c r="I856" s="24" t="s">
        <v>861</v>
      </c>
      <c r="J856" s="22">
        <f t="shared" si="18"/>
        <v>9.1921704225022185E-5</v>
      </c>
      <c r="K856" s="22"/>
    </row>
    <row r="857" spans="1:11" x14ac:dyDescent="0.15">
      <c r="A857" s="24" t="s">
        <v>860</v>
      </c>
      <c r="B857" s="24" t="s">
        <v>925</v>
      </c>
      <c r="C857" s="24">
        <v>21.6</v>
      </c>
      <c r="D857" s="24" t="s">
        <v>710</v>
      </c>
      <c r="E857" s="24" t="s">
        <v>743</v>
      </c>
      <c r="F857" s="24">
        <v>5.4999999999999997E-3</v>
      </c>
      <c r="G857" s="24">
        <v>3.3000000000000002E-2</v>
      </c>
      <c r="H857" s="24">
        <v>11</v>
      </c>
      <c r="I857" s="24" t="s">
        <v>861</v>
      </c>
      <c r="J857" s="22">
        <f t="shared" si="18"/>
        <v>1.5434389676850059E-4</v>
      </c>
      <c r="K857" s="22"/>
    </row>
    <row r="858" spans="1:11" x14ac:dyDescent="0.15">
      <c r="A858" s="24" t="s">
        <v>860</v>
      </c>
      <c r="B858" s="24" t="s">
        <v>925</v>
      </c>
      <c r="C858" s="24">
        <v>22.6</v>
      </c>
      <c r="D858" s="24" t="s">
        <v>865</v>
      </c>
      <c r="E858" s="24" t="s">
        <v>743</v>
      </c>
      <c r="F858" s="24">
        <v>8.0000000000000004E-4</v>
      </c>
      <c r="G858" s="24">
        <v>2.6000000000000002E-2</v>
      </c>
      <c r="H858" s="24">
        <v>3</v>
      </c>
      <c r="I858" s="24" t="s">
        <v>861</v>
      </c>
      <c r="J858" s="22">
        <f t="shared" si="18"/>
        <v>2.8987794913050039E-5</v>
      </c>
      <c r="K858" s="22"/>
    </row>
    <row r="859" spans="1:11" x14ac:dyDescent="0.15">
      <c r="A859" s="24" t="s">
        <v>860</v>
      </c>
      <c r="B859" s="24" t="s">
        <v>925</v>
      </c>
      <c r="C859" s="24">
        <v>23.6</v>
      </c>
      <c r="D859" s="24" t="s">
        <v>866</v>
      </c>
      <c r="E859" s="24" t="s">
        <v>743</v>
      </c>
      <c r="F859" s="24">
        <v>2.1000000000000003E-3</v>
      </c>
      <c r="G859" s="24">
        <v>1.9E-2</v>
      </c>
      <c r="H859" s="24">
        <v>14</v>
      </c>
      <c r="I859" s="24" t="s">
        <v>861</v>
      </c>
      <c r="J859" s="22">
        <f t="shared" si="18"/>
        <v>1.011728413693939E-4</v>
      </c>
      <c r="K859" s="22"/>
    </row>
    <row r="860" spans="1:11" x14ac:dyDescent="0.15">
      <c r="A860" s="24" t="s">
        <v>860</v>
      </c>
      <c r="B860" s="24" t="s">
        <v>925</v>
      </c>
      <c r="C860" s="24">
        <v>24.6</v>
      </c>
      <c r="D860" s="24" t="s">
        <v>111</v>
      </c>
      <c r="E860" s="24" t="s">
        <v>743</v>
      </c>
      <c r="F860" s="24">
        <v>8.4000000000000012E-3</v>
      </c>
      <c r="G860" s="24">
        <v>2.1000000000000001E-2</v>
      </c>
      <c r="H860" s="24">
        <v>19</v>
      </c>
      <c r="I860" s="24" t="s">
        <v>861</v>
      </c>
      <c r="J860" s="22">
        <f t="shared" si="18"/>
        <v>3.567994624903083E-4</v>
      </c>
      <c r="K860" s="22"/>
    </row>
    <row r="861" spans="1:11" x14ac:dyDescent="0.15">
      <c r="A861" s="24" t="s">
        <v>860</v>
      </c>
      <c r="B861" s="24" t="s">
        <v>925</v>
      </c>
      <c r="C861" s="24">
        <v>25.6</v>
      </c>
      <c r="D861" s="24" t="s">
        <v>867</v>
      </c>
      <c r="E861" s="24" t="s">
        <v>743</v>
      </c>
      <c r="F861" s="24">
        <v>7.4999999999999997E-3</v>
      </c>
      <c r="G861" s="24">
        <v>2.7999999999999997E-2</v>
      </c>
      <c r="H861" s="24">
        <v>21</v>
      </c>
      <c r="I861" s="24" t="s">
        <v>861</v>
      </c>
      <c r="J861" s="22">
        <f t="shared" si="18"/>
        <v>2.3591149591405033E-4</v>
      </c>
      <c r="K861" s="22"/>
    </row>
    <row r="862" spans="1:11" x14ac:dyDescent="0.15">
      <c r="A862" s="24" t="s">
        <v>860</v>
      </c>
      <c r="B862" s="24" t="s">
        <v>925</v>
      </c>
      <c r="C862" s="24">
        <v>26.6</v>
      </c>
      <c r="D862" s="24" t="s">
        <v>868</v>
      </c>
      <c r="E862" s="24" t="s">
        <v>743</v>
      </c>
      <c r="F862" s="24">
        <v>6.7000000000000002E-3</v>
      </c>
      <c r="G862" s="24">
        <v>3.7000000000000005E-2</v>
      </c>
      <c r="H862" s="24">
        <v>0</v>
      </c>
      <c r="I862" s="24" t="s">
        <v>861</v>
      </c>
      <c r="J862" s="22">
        <f t="shared" si="18"/>
        <v>1.7083120856705759E-4</v>
      </c>
      <c r="K862" s="22"/>
    </row>
    <row r="863" spans="1:11" x14ac:dyDescent="0.15">
      <c r="A863" s="24" t="s">
        <v>860</v>
      </c>
      <c r="B863" s="24" t="s">
        <v>925</v>
      </c>
      <c r="C863" s="24">
        <v>27.6</v>
      </c>
      <c r="D863" s="24" t="s">
        <v>869</v>
      </c>
      <c r="E863" s="24" t="s">
        <v>743</v>
      </c>
      <c r="F863" s="24">
        <v>7.7999999999999996E-3</v>
      </c>
      <c r="G863" s="24">
        <v>2.5000000000000001E-2</v>
      </c>
      <c r="H863" s="24">
        <v>16</v>
      </c>
      <c r="I863" s="24" t="s">
        <v>861</v>
      </c>
      <c r="J863" s="22">
        <f t="shared" si="18"/>
        <v>2.8293740484222217E-4</v>
      </c>
      <c r="K863" s="22"/>
    </row>
    <row r="864" spans="1:11" x14ac:dyDescent="0.15">
      <c r="A864" s="24" t="s">
        <v>860</v>
      </c>
      <c r="B864" s="24" t="s">
        <v>925</v>
      </c>
      <c r="C864" s="24">
        <v>28.6</v>
      </c>
      <c r="D864" s="24" t="s">
        <v>870</v>
      </c>
      <c r="E864" s="24" t="s">
        <v>743</v>
      </c>
      <c r="F864" s="24">
        <v>6.7000000000000002E-3</v>
      </c>
      <c r="G864" s="24">
        <v>2.5000000000000001E-2</v>
      </c>
      <c r="H864" s="24">
        <v>17</v>
      </c>
      <c r="I864" s="24" t="s">
        <v>861</v>
      </c>
      <c r="J864" s="22">
        <f t="shared" si="18"/>
        <v>2.4178271188499386E-4</v>
      </c>
      <c r="K864" s="22"/>
    </row>
    <row r="865" spans="1:11" x14ac:dyDescent="0.15">
      <c r="A865" s="24" t="s">
        <v>860</v>
      </c>
      <c r="B865" s="24" t="s">
        <v>925</v>
      </c>
      <c r="C865" s="24">
        <v>29.6</v>
      </c>
      <c r="D865" s="24" t="s">
        <v>871</v>
      </c>
      <c r="E865" s="24" t="s">
        <v>743</v>
      </c>
      <c r="F865" s="24">
        <v>1.6999999999999999E-3</v>
      </c>
      <c r="G865" s="24">
        <v>3.7999999999999999E-2</v>
      </c>
      <c r="H865" s="24">
        <v>0</v>
      </c>
      <c r="I865" s="24" t="s">
        <v>861</v>
      </c>
      <c r="J865" s="22">
        <f t="shared" si="18"/>
        <v>4.2204568023833168E-5</v>
      </c>
      <c r="K865" s="22"/>
    </row>
    <row r="866" spans="1:11" x14ac:dyDescent="0.15">
      <c r="A866" s="24" t="s">
        <v>860</v>
      </c>
      <c r="B866" s="24" t="s">
        <v>925</v>
      </c>
      <c r="C866" s="24">
        <v>30.6</v>
      </c>
      <c r="D866" s="24" t="s">
        <v>718</v>
      </c>
      <c r="E866" s="24" t="s">
        <v>743</v>
      </c>
      <c r="F866" s="24">
        <v>6.9999999999999999E-4</v>
      </c>
      <c r="G866" s="24">
        <v>1.6E-2</v>
      </c>
      <c r="H866" s="24">
        <v>0</v>
      </c>
      <c r="I866" s="24" t="s">
        <v>861</v>
      </c>
      <c r="J866" s="22">
        <f t="shared" si="18"/>
        <v>4.1273584905660374E-5</v>
      </c>
      <c r="K866" s="22"/>
    </row>
    <row r="867" spans="1:11" x14ac:dyDescent="0.15">
      <c r="A867" s="24" t="s">
        <v>860</v>
      </c>
      <c r="B867" s="24" t="s">
        <v>925</v>
      </c>
      <c r="C867" s="24">
        <v>31.6</v>
      </c>
      <c r="D867" s="24" t="s">
        <v>717</v>
      </c>
      <c r="E867" s="24" t="s">
        <v>743</v>
      </c>
      <c r="F867" s="24">
        <v>4.4000000000000003E-3</v>
      </c>
      <c r="G867" s="24">
        <v>5.5999999999999994E-2</v>
      </c>
      <c r="H867" s="24">
        <v>1</v>
      </c>
      <c r="I867" s="24" t="s">
        <v>861</v>
      </c>
      <c r="J867" s="22">
        <f t="shared" si="18"/>
        <v>7.4112699775743304E-5</v>
      </c>
      <c r="K867" s="22"/>
    </row>
    <row r="868" spans="1:11" x14ac:dyDescent="0.15">
      <c r="A868" s="24" t="s">
        <v>860</v>
      </c>
      <c r="B868" s="24" t="s">
        <v>925</v>
      </c>
      <c r="C868" s="24">
        <v>32.6</v>
      </c>
      <c r="D868" s="24" t="s">
        <v>511</v>
      </c>
      <c r="E868" s="24" t="s">
        <v>743</v>
      </c>
      <c r="F868" s="24">
        <v>5.7000000000000002E-3</v>
      </c>
      <c r="G868" s="24">
        <v>3.4000000000000002E-2</v>
      </c>
      <c r="H868" s="24">
        <v>5</v>
      </c>
      <c r="I868" s="24" t="s">
        <v>861</v>
      </c>
      <c r="J868" s="22">
        <f t="shared" si="18"/>
        <v>1.5755576523648584E-4</v>
      </c>
      <c r="K868" s="22"/>
    </row>
    <row r="869" spans="1:11" x14ac:dyDescent="0.15">
      <c r="A869" s="24" t="s">
        <v>860</v>
      </c>
      <c r="B869" s="24" t="s">
        <v>925</v>
      </c>
      <c r="C869" s="24">
        <v>33.6</v>
      </c>
      <c r="D869" s="24" t="s">
        <v>872</v>
      </c>
      <c r="E869" s="24" t="s">
        <v>743</v>
      </c>
      <c r="F869" s="24">
        <v>3.8999999999999998E-3</v>
      </c>
      <c r="G869" s="24">
        <v>2.5000000000000001E-2</v>
      </c>
      <c r="H869" s="24">
        <v>9</v>
      </c>
      <c r="I869" s="24" t="s">
        <v>861</v>
      </c>
      <c r="J869" s="22">
        <f t="shared" si="18"/>
        <v>1.4535790672909573E-4</v>
      </c>
      <c r="K869" s="22"/>
    </row>
    <row r="870" spans="1:11" x14ac:dyDescent="0.15">
      <c r="A870" s="24" t="s">
        <v>860</v>
      </c>
      <c r="B870" s="24" t="s">
        <v>925</v>
      </c>
      <c r="C870" s="24">
        <v>34.6</v>
      </c>
      <c r="D870" s="24" t="s">
        <v>873</v>
      </c>
      <c r="E870" s="24" t="s">
        <v>743</v>
      </c>
      <c r="F870" s="24">
        <v>1.6000000000000001E-3</v>
      </c>
      <c r="G870" s="24">
        <v>4.2000000000000003E-2</v>
      </c>
      <c r="H870" s="24">
        <v>0</v>
      </c>
      <c r="I870" s="24" t="s">
        <v>861</v>
      </c>
      <c r="J870" s="22">
        <f t="shared" si="18"/>
        <v>3.5938903863432166E-5</v>
      </c>
      <c r="K870" s="22"/>
    </row>
    <row r="871" spans="1:11" x14ac:dyDescent="0.15">
      <c r="A871" s="24" t="s">
        <v>860</v>
      </c>
      <c r="B871" s="24" t="s">
        <v>925</v>
      </c>
      <c r="C871" s="24">
        <v>35.6</v>
      </c>
      <c r="D871" s="24" t="s">
        <v>719</v>
      </c>
      <c r="E871" s="24" t="s">
        <v>743</v>
      </c>
      <c r="F871" s="24">
        <v>3.0000000000000001E-3</v>
      </c>
      <c r="G871" s="24">
        <v>2.4E-2</v>
      </c>
      <c r="H871" s="24">
        <v>11</v>
      </c>
      <c r="I871" s="24" t="s">
        <v>861</v>
      </c>
      <c r="J871" s="22">
        <f t="shared" si="18"/>
        <v>1.1575792257637547E-4</v>
      </c>
      <c r="K871" s="22"/>
    </row>
    <row r="872" spans="1:11" x14ac:dyDescent="0.15">
      <c r="A872" s="24" t="s">
        <v>860</v>
      </c>
      <c r="B872" s="24" t="s">
        <v>925</v>
      </c>
      <c r="C872" s="24">
        <v>36.6</v>
      </c>
      <c r="D872" s="24" t="s">
        <v>874</v>
      </c>
      <c r="E872" s="24" t="s">
        <v>743</v>
      </c>
      <c r="F872" s="24">
        <v>2.2000000000000001E-3</v>
      </c>
      <c r="G872" s="24">
        <v>2.6000000000000002E-2</v>
      </c>
      <c r="H872" s="24">
        <v>6</v>
      </c>
      <c r="I872" s="24" t="s">
        <v>861</v>
      </c>
      <c r="J872" s="22">
        <f t="shared" si="18"/>
        <v>7.938854026887523E-5</v>
      </c>
      <c r="K872" s="22"/>
    </row>
    <row r="873" spans="1:11" x14ac:dyDescent="0.15">
      <c r="A873" s="24" t="s">
        <v>860</v>
      </c>
      <c r="B873" s="24" t="s">
        <v>925</v>
      </c>
      <c r="C873" s="24">
        <v>37.6</v>
      </c>
      <c r="D873" s="24" t="s">
        <v>875</v>
      </c>
      <c r="E873" s="24" t="s">
        <v>743</v>
      </c>
      <c r="F873" s="24">
        <v>2.5999999999999999E-3</v>
      </c>
      <c r="G873" s="24">
        <v>1.4999999999999999E-2</v>
      </c>
      <c r="H873" s="24">
        <v>16</v>
      </c>
      <c r="I873" s="24" t="s">
        <v>861</v>
      </c>
      <c r="J873" s="22">
        <f t="shared" si="18"/>
        <v>1.5718744713456788E-4</v>
      </c>
      <c r="K873" s="22"/>
    </row>
    <row r="874" spans="1:11" x14ac:dyDescent="0.15">
      <c r="A874" s="24" t="s">
        <v>860</v>
      </c>
      <c r="B874" s="24" t="s">
        <v>925</v>
      </c>
      <c r="C874" s="24">
        <v>38.6</v>
      </c>
      <c r="D874" s="24" t="s">
        <v>724</v>
      </c>
      <c r="E874" s="24" t="s">
        <v>743</v>
      </c>
      <c r="F874" s="24">
        <v>1.5E-3</v>
      </c>
      <c r="G874" s="24">
        <v>0.37</v>
      </c>
      <c r="H874" s="24">
        <v>0</v>
      </c>
      <c r="I874" s="24" t="s">
        <v>861</v>
      </c>
      <c r="J874" s="22">
        <f t="shared" si="18"/>
        <v>3.8245792962774093E-6</v>
      </c>
      <c r="K874" s="22"/>
    </row>
    <row r="875" spans="1:11" x14ac:dyDescent="0.15">
      <c r="A875" s="29" t="s">
        <v>907</v>
      </c>
      <c r="B875" s="29" t="s">
        <v>925</v>
      </c>
      <c r="C875" s="29">
        <v>4.7</v>
      </c>
      <c r="D875" s="29" t="s">
        <v>541</v>
      </c>
      <c r="E875" s="29" t="s">
        <v>742</v>
      </c>
      <c r="F875" s="29">
        <v>1.8200000000000001E-2</v>
      </c>
      <c r="G875" s="30">
        <v>0.13700000000000001</v>
      </c>
      <c r="H875" s="30">
        <v>0</v>
      </c>
      <c r="I875" s="29" t="s">
        <v>908</v>
      </c>
      <c r="J875" s="22">
        <f t="shared" ref="J875:J913" si="19">F875*COS(RADIANS(H875))/(1060*G875)</f>
        <v>1.2532708993251619E-4</v>
      </c>
      <c r="K875" s="22" t="s">
        <v>360</v>
      </c>
    </row>
    <row r="876" spans="1:11" x14ac:dyDescent="0.15">
      <c r="A876" s="29" t="s">
        <v>907</v>
      </c>
      <c r="B876" s="29" t="s">
        <v>925</v>
      </c>
      <c r="C876" s="29">
        <v>4.7</v>
      </c>
      <c r="D876" s="29" t="s">
        <v>651</v>
      </c>
      <c r="E876" s="29" t="s">
        <v>742</v>
      </c>
      <c r="F876" s="29">
        <v>1.67E-2</v>
      </c>
      <c r="G876" s="30">
        <v>5.8999999999999997E-2</v>
      </c>
      <c r="H876" s="30">
        <v>0</v>
      </c>
      <c r="I876" s="29" t="s">
        <v>908</v>
      </c>
      <c r="J876" s="22">
        <f t="shared" si="19"/>
        <v>2.6702910137511989E-4</v>
      </c>
    </row>
    <row r="877" spans="1:11" x14ac:dyDescent="0.15">
      <c r="A877" s="29" t="s">
        <v>907</v>
      </c>
      <c r="B877" s="29" t="s">
        <v>925</v>
      </c>
      <c r="C877" s="29">
        <v>4.7</v>
      </c>
      <c r="D877" s="29" t="s">
        <v>257</v>
      </c>
      <c r="E877" s="29" t="s">
        <v>742</v>
      </c>
      <c r="F877" s="29">
        <v>5.8999999999999999E-3</v>
      </c>
      <c r="G877" s="30">
        <v>0.10299999999999999</v>
      </c>
      <c r="H877" s="30">
        <v>0</v>
      </c>
      <c r="I877" s="29" t="s">
        <v>908</v>
      </c>
      <c r="J877" s="22">
        <f t="shared" si="19"/>
        <v>5.4039201318922879E-5</v>
      </c>
    </row>
    <row r="878" spans="1:11" x14ac:dyDescent="0.15">
      <c r="A878" s="29" t="s">
        <v>907</v>
      </c>
      <c r="B878" s="29" t="s">
        <v>925</v>
      </c>
      <c r="C878" s="29">
        <v>4.7</v>
      </c>
      <c r="D878" s="29" t="s">
        <v>376</v>
      </c>
      <c r="E878" s="29" t="s">
        <v>742</v>
      </c>
      <c r="F878" s="29">
        <v>2.3E-3</v>
      </c>
      <c r="G878" s="30">
        <v>2.1000000000000001E-2</v>
      </c>
      <c r="H878" s="30">
        <v>27</v>
      </c>
      <c r="I878" s="29" t="s">
        <v>908</v>
      </c>
      <c r="J878" s="22">
        <f t="shared" si="19"/>
        <v>9.2062668716677708E-5</v>
      </c>
    </row>
    <row r="879" spans="1:11" x14ac:dyDescent="0.15">
      <c r="A879" s="29" t="s">
        <v>907</v>
      </c>
      <c r="B879" s="29" t="s">
        <v>925</v>
      </c>
      <c r="C879" s="29">
        <v>4.7</v>
      </c>
      <c r="D879" s="29" t="s">
        <v>431</v>
      </c>
      <c r="E879" s="29" t="s">
        <v>742</v>
      </c>
      <c r="F879" s="29">
        <v>1.6000000000000001E-3</v>
      </c>
      <c r="G879" s="30">
        <v>2.3E-2</v>
      </c>
      <c r="H879" s="30">
        <v>0</v>
      </c>
      <c r="I879" s="29" t="s">
        <v>908</v>
      </c>
      <c r="J879" s="22">
        <f t="shared" si="19"/>
        <v>6.562756357670222E-5</v>
      </c>
    </row>
    <row r="880" spans="1:11" x14ac:dyDescent="0.15">
      <c r="A880" s="29" t="s">
        <v>907</v>
      </c>
      <c r="B880" s="29" t="s">
        <v>925</v>
      </c>
      <c r="C880" s="29">
        <v>4.7</v>
      </c>
      <c r="D880" s="29" t="s">
        <v>375</v>
      </c>
      <c r="E880" s="29" t="s">
        <v>742</v>
      </c>
      <c r="F880" s="29">
        <v>2.0999999999999999E-3</v>
      </c>
      <c r="G880" s="30">
        <v>3.4000000000000002E-2</v>
      </c>
      <c r="H880" s="30">
        <v>0</v>
      </c>
      <c r="I880" s="29" t="s">
        <v>908</v>
      </c>
      <c r="J880" s="22">
        <f t="shared" si="19"/>
        <v>5.8268590455049944E-5</v>
      </c>
    </row>
    <row r="881" spans="1:10" x14ac:dyDescent="0.15">
      <c r="A881" s="29" t="s">
        <v>907</v>
      </c>
      <c r="B881" s="29" t="s">
        <v>925</v>
      </c>
      <c r="C881" s="29">
        <v>4.7</v>
      </c>
      <c r="D881" s="29" t="s">
        <v>434</v>
      </c>
      <c r="E881" s="29" t="s">
        <v>742</v>
      </c>
      <c r="F881" s="29">
        <v>3.8E-3</v>
      </c>
      <c r="G881" s="30">
        <v>2.9000000000000001E-2</v>
      </c>
      <c r="H881" s="30">
        <v>26</v>
      </c>
      <c r="I881" s="29" t="s">
        <v>908</v>
      </c>
      <c r="J881" s="22">
        <f t="shared" si="19"/>
        <v>1.1110661600315012E-4</v>
      </c>
    </row>
    <row r="882" spans="1:10" x14ac:dyDescent="0.15">
      <c r="A882" s="29" t="s">
        <v>907</v>
      </c>
      <c r="B882" s="29" t="s">
        <v>925</v>
      </c>
      <c r="C882" s="29">
        <v>4.7</v>
      </c>
      <c r="D882" s="29" t="s">
        <v>435</v>
      </c>
      <c r="E882" s="29" t="s">
        <v>742</v>
      </c>
      <c r="F882" s="29">
        <v>1.5E-3</v>
      </c>
      <c r="G882" s="30">
        <v>1.9E-2</v>
      </c>
      <c r="H882" s="30">
        <v>26</v>
      </c>
      <c r="I882" s="29" t="s">
        <v>908</v>
      </c>
      <c r="J882" s="22">
        <f t="shared" si="19"/>
        <v>6.6940966705499036E-5</v>
      </c>
    </row>
    <row r="883" spans="1:10" x14ac:dyDescent="0.15">
      <c r="A883" s="29" t="s">
        <v>907</v>
      </c>
      <c r="B883" s="29" t="s">
        <v>925</v>
      </c>
      <c r="C883" s="29">
        <v>4.7</v>
      </c>
      <c r="D883" s="29" t="s">
        <v>430</v>
      </c>
      <c r="E883" s="29" t="s">
        <v>742</v>
      </c>
      <c r="F883" s="29">
        <v>3.8999999999999998E-3</v>
      </c>
      <c r="G883" s="30">
        <v>1.4E-2</v>
      </c>
      <c r="H883" s="30">
        <v>30</v>
      </c>
      <c r="I883" s="29" t="s">
        <v>908</v>
      </c>
      <c r="J883" s="22">
        <f t="shared" si="19"/>
        <v>2.2759427727488617E-4</v>
      </c>
    </row>
    <row r="884" spans="1:10" x14ac:dyDescent="0.15">
      <c r="A884" s="29" t="s">
        <v>907</v>
      </c>
      <c r="B884" s="29" t="s">
        <v>925</v>
      </c>
      <c r="C884" s="29">
        <v>4.7</v>
      </c>
      <c r="D884" s="29" t="s">
        <v>429</v>
      </c>
      <c r="E884" s="29" t="s">
        <v>742</v>
      </c>
      <c r="F884" s="29">
        <v>7.7000000000000002E-3</v>
      </c>
      <c r="G884" s="30">
        <v>2.3E-2</v>
      </c>
      <c r="H884" s="30">
        <v>29</v>
      </c>
      <c r="I884" s="29" t="s">
        <v>908</v>
      </c>
      <c r="J884" s="22">
        <f t="shared" si="19"/>
        <v>2.76233459596938E-4</v>
      </c>
    </row>
    <row r="885" spans="1:10" x14ac:dyDescent="0.15">
      <c r="A885" s="29" t="s">
        <v>907</v>
      </c>
      <c r="B885" s="29" t="s">
        <v>925</v>
      </c>
      <c r="C885" s="29">
        <v>4.7</v>
      </c>
      <c r="D885" s="29" t="s">
        <v>545</v>
      </c>
      <c r="E885" s="29" t="s">
        <v>742</v>
      </c>
      <c r="F885" s="29">
        <v>7.4999999999999997E-3</v>
      </c>
      <c r="G885" s="30">
        <v>1.4999999999999999E-2</v>
      </c>
      <c r="H885" s="30">
        <v>30</v>
      </c>
      <c r="I885" s="29" t="s">
        <v>908</v>
      </c>
      <c r="J885" s="22">
        <f t="shared" si="19"/>
        <v>4.0850254895492393E-4</v>
      </c>
    </row>
    <row r="886" spans="1:10" x14ac:dyDescent="0.15">
      <c r="A886" s="29" t="s">
        <v>907</v>
      </c>
      <c r="B886" s="29" t="s">
        <v>925</v>
      </c>
      <c r="C886" s="29">
        <v>4.7</v>
      </c>
      <c r="D886" s="29" t="s">
        <v>562</v>
      </c>
      <c r="E886" s="29" t="s">
        <v>742</v>
      </c>
      <c r="F886" s="29">
        <v>1.2999999999999999E-3</v>
      </c>
      <c r="G886" s="30">
        <v>1.4999999999999999E-2</v>
      </c>
      <c r="H886" s="30">
        <v>28</v>
      </c>
      <c r="I886" s="29" t="s">
        <v>908</v>
      </c>
      <c r="J886" s="22">
        <f t="shared" si="19"/>
        <v>7.2190683692868255E-5</v>
      </c>
    </row>
    <row r="887" spans="1:10" x14ac:dyDescent="0.15">
      <c r="A887" s="29" t="s">
        <v>907</v>
      </c>
      <c r="B887" s="29" t="s">
        <v>925</v>
      </c>
      <c r="C887" s="29">
        <v>4.7</v>
      </c>
      <c r="D887" s="29" t="s">
        <v>433</v>
      </c>
      <c r="E887" s="29" t="s">
        <v>742</v>
      </c>
      <c r="F887" s="29">
        <v>3.3999999999999998E-3</v>
      </c>
      <c r="G887" s="30">
        <v>5.3999999999999999E-2</v>
      </c>
      <c r="H887" s="30">
        <v>0</v>
      </c>
      <c r="I887" s="29" t="s">
        <v>908</v>
      </c>
      <c r="J887" s="22">
        <f t="shared" si="19"/>
        <v>5.9399021663172604E-5</v>
      </c>
    </row>
    <row r="888" spans="1:10" x14ac:dyDescent="0.15">
      <c r="A888" s="29" t="s">
        <v>907</v>
      </c>
      <c r="B888" s="29" t="s">
        <v>925</v>
      </c>
      <c r="C888" s="29">
        <v>4.7</v>
      </c>
      <c r="D888" s="29" t="s">
        <v>371</v>
      </c>
      <c r="E888" s="29" t="s">
        <v>742</v>
      </c>
      <c r="F888" s="29">
        <v>2.8999999999999998E-3</v>
      </c>
      <c r="G888" s="30">
        <v>2.1999999999999999E-2</v>
      </c>
      <c r="H888" s="30">
        <v>25</v>
      </c>
      <c r="I888" s="29" t="s">
        <v>908</v>
      </c>
      <c r="J888" s="22">
        <f t="shared" si="19"/>
        <v>1.1270551382531238E-4</v>
      </c>
    </row>
    <row r="889" spans="1:10" x14ac:dyDescent="0.15">
      <c r="A889" s="29" t="s">
        <v>907</v>
      </c>
      <c r="B889" s="29" t="s">
        <v>925</v>
      </c>
      <c r="C889" s="29">
        <v>4.7</v>
      </c>
      <c r="D889" s="29" t="s">
        <v>554</v>
      </c>
      <c r="E889" s="29" t="s">
        <v>742</v>
      </c>
      <c r="F889" s="29">
        <v>1.6000000000000001E-3</v>
      </c>
      <c r="G889" s="30">
        <v>1.9E-2</v>
      </c>
      <c r="H889" s="30">
        <v>25</v>
      </c>
      <c r="I889" s="29" t="s">
        <v>908</v>
      </c>
      <c r="J889" s="22">
        <f t="shared" si="19"/>
        <v>7.2000618632504464E-5</v>
      </c>
    </row>
    <row r="890" spans="1:10" x14ac:dyDescent="0.15">
      <c r="A890" s="29" t="s">
        <v>907</v>
      </c>
      <c r="B890" s="29" t="s">
        <v>925</v>
      </c>
      <c r="C890" s="29">
        <v>4.7</v>
      </c>
      <c r="D890" s="29" t="s">
        <v>437</v>
      </c>
      <c r="E890" s="29" t="s">
        <v>742</v>
      </c>
      <c r="F890" s="29">
        <v>1.3599999999999999E-2</v>
      </c>
      <c r="G890" s="30">
        <v>2.3E-2</v>
      </c>
      <c r="H890" s="30">
        <v>30</v>
      </c>
      <c r="I890" s="29" t="s">
        <v>908</v>
      </c>
      <c r="J890" s="22">
        <f t="shared" si="19"/>
        <v>4.8309866659017087E-4</v>
      </c>
    </row>
    <row r="891" spans="1:10" x14ac:dyDescent="0.15">
      <c r="A891" s="29" t="s">
        <v>907</v>
      </c>
      <c r="B891" s="29" t="s">
        <v>925</v>
      </c>
      <c r="C891" s="29">
        <v>4.7</v>
      </c>
      <c r="D891" s="29" t="s">
        <v>436</v>
      </c>
      <c r="E891" s="29" t="s">
        <v>742</v>
      </c>
      <c r="F891" s="29">
        <v>8.3000000000000001E-3</v>
      </c>
      <c r="G891" s="30">
        <v>4.3999999999999997E-2</v>
      </c>
      <c r="H891" s="30">
        <v>0</v>
      </c>
      <c r="I891" s="29" t="s">
        <v>908</v>
      </c>
      <c r="J891" s="22">
        <f t="shared" si="19"/>
        <v>1.7795883361921097E-4</v>
      </c>
    </row>
    <row r="892" spans="1:10" x14ac:dyDescent="0.15">
      <c r="A892" s="29" t="s">
        <v>907</v>
      </c>
      <c r="B892" s="29" t="s">
        <v>925</v>
      </c>
      <c r="C892" s="29">
        <v>4.7</v>
      </c>
      <c r="D892" s="29" t="s">
        <v>566</v>
      </c>
      <c r="E892" s="29" t="s">
        <v>742</v>
      </c>
      <c r="F892" s="29">
        <v>4.1000000000000003E-3</v>
      </c>
      <c r="G892" s="30">
        <v>0.04</v>
      </c>
      <c r="H892" s="30">
        <v>0</v>
      </c>
      <c r="I892" s="29" t="s">
        <v>908</v>
      </c>
      <c r="J892" s="22">
        <f t="shared" si="19"/>
        <v>9.6698113207547179E-5</v>
      </c>
    </row>
    <row r="893" spans="1:10" x14ac:dyDescent="0.15">
      <c r="A893" s="29" t="s">
        <v>907</v>
      </c>
      <c r="B893" s="29" t="s">
        <v>925</v>
      </c>
      <c r="C893" s="29">
        <v>4.7</v>
      </c>
      <c r="D893" s="29" t="s">
        <v>567</v>
      </c>
      <c r="E893" s="29" t="s">
        <v>742</v>
      </c>
      <c r="F893" s="29">
        <v>3.0000000000000001E-3</v>
      </c>
      <c r="G893" s="30">
        <v>6.3E-2</v>
      </c>
      <c r="H893" s="30">
        <v>0</v>
      </c>
      <c r="I893" s="29" t="s">
        <v>908</v>
      </c>
      <c r="J893" s="22">
        <f t="shared" si="19"/>
        <v>4.4923629829290206E-5</v>
      </c>
    </row>
    <row r="894" spans="1:10" x14ac:dyDescent="0.15">
      <c r="A894" s="29" t="s">
        <v>907</v>
      </c>
      <c r="B894" s="29" t="s">
        <v>925</v>
      </c>
      <c r="C894" s="29">
        <v>4.7</v>
      </c>
      <c r="D894" s="29" t="s">
        <v>546</v>
      </c>
      <c r="E894" s="29" t="s">
        <v>743</v>
      </c>
      <c r="F894" s="29">
        <v>1E-3</v>
      </c>
      <c r="G894" s="30">
        <v>2.1000000000000001E-2</v>
      </c>
      <c r="H894" s="30">
        <v>0</v>
      </c>
      <c r="I894" s="29" t="s">
        <v>908</v>
      </c>
      <c r="J894" s="22">
        <f t="shared" si="19"/>
        <v>4.4923629829290206E-5</v>
      </c>
    </row>
    <row r="895" spans="1:10" x14ac:dyDescent="0.15">
      <c r="A895" s="29" t="s">
        <v>907</v>
      </c>
      <c r="B895" s="29" t="s">
        <v>925</v>
      </c>
      <c r="C895" s="29">
        <v>4.7</v>
      </c>
      <c r="D895" s="29" t="s">
        <v>551</v>
      </c>
      <c r="E895" s="29" t="s">
        <v>743</v>
      </c>
      <c r="F895" s="29">
        <v>2.3999999999999998E-3</v>
      </c>
      <c r="G895" s="30">
        <v>0.06</v>
      </c>
      <c r="H895" s="30">
        <v>0</v>
      </c>
      <c r="I895" s="29" t="s">
        <v>908</v>
      </c>
      <c r="J895" s="22">
        <f t="shared" si="19"/>
        <v>3.7735849056603776E-5</v>
      </c>
    </row>
    <row r="896" spans="1:10" x14ac:dyDescent="0.15">
      <c r="A896" s="29" t="s">
        <v>907</v>
      </c>
      <c r="B896" s="29" t="s">
        <v>925</v>
      </c>
      <c r="C896" s="29">
        <v>4.7</v>
      </c>
      <c r="D896" s="29" t="s">
        <v>388</v>
      </c>
      <c r="E896" s="29" t="s">
        <v>743</v>
      </c>
      <c r="F896" s="29">
        <v>1.5E-3</v>
      </c>
      <c r="G896" s="30">
        <v>1.4E-2</v>
      </c>
      <c r="H896" s="30">
        <v>29</v>
      </c>
      <c r="I896" s="29" t="s">
        <v>908</v>
      </c>
      <c r="J896" s="22">
        <f t="shared" si="19"/>
        <v>8.840495692109796E-5</v>
      </c>
    </row>
    <row r="897" spans="1:10" x14ac:dyDescent="0.15">
      <c r="A897" s="29" t="s">
        <v>907</v>
      </c>
      <c r="B897" s="29" t="s">
        <v>925</v>
      </c>
      <c r="C897" s="29">
        <v>4.7</v>
      </c>
      <c r="D897" s="29" t="s">
        <v>446</v>
      </c>
      <c r="E897" s="29" t="s">
        <v>743</v>
      </c>
      <c r="F897" s="29">
        <v>1E-3</v>
      </c>
      <c r="G897" s="30">
        <v>1.4999999999999999E-2</v>
      </c>
      <c r="H897" s="30">
        <v>24</v>
      </c>
      <c r="I897" s="29" t="s">
        <v>908</v>
      </c>
      <c r="J897" s="22">
        <f t="shared" si="19"/>
        <v>5.745568915991201E-5</v>
      </c>
    </row>
    <row r="898" spans="1:10" x14ac:dyDescent="0.15">
      <c r="A898" s="29" t="s">
        <v>907</v>
      </c>
      <c r="B898" s="29" t="s">
        <v>925</v>
      </c>
      <c r="C898" s="29">
        <v>4.7</v>
      </c>
      <c r="D898" s="29" t="s">
        <v>380</v>
      </c>
      <c r="E898" s="29" t="s">
        <v>743</v>
      </c>
      <c r="F898" s="29">
        <v>1E-3</v>
      </c>
      <c r="G898" s="30">
        <v>1.7999999999999999E-2</v>
      </c>
      <c r="H898" s="30">
        <v>25</v>
      </c>
      <c r="I898" s="29" t="s">
        <v>908</v>
      </c>
      <c r="J898" s="22">
        <f t="shared" si="19"/>
        <v>4.7500408125610587E-5</v>
      </c>
    </row>
    <row r="899" spans="1:10" x14ac:dyDescent="0.15">
      <c r="A899" s="29" t="s">
        <v>907</v>
      </c>
      <c r="B899" s="29" t="s">
        <v>925</v>
      </c>
      <c r="C899" s="29">
        <v>4.7</v>
      </c>
      <c r="D899" s="29" t="s">
        <v>909</v>
      </c>
      <c r="E899" s="29" t="s">
        <v>743</v>
      </c>
      <c r="F899" s="29">
        <v>2.8E-3</v>
      </c>
      <c r="G899" s="30">
        <v>1.6E-2</v>
      </c>
      <c r="H899" s="30">
        <v>32</v>
      </c>
      <c r="I899" s="29" t="s">
        <v>908</v>
      </c>
      <c r="J899" s="22">
        <f t="shared" si="19"/>
        <v>1.4000794040318351E-4</v>
      </c>
    </row>
    <row r="900" spans="1:10" x14ac:dyDescent="0.15">
      <c r="A900" s="29" t="s">
        <v>907</v>
      </c>
      <c r="B900" s="29" t="s">
        <v>925</v>
      </c>
      <c r="C900" s="29">
        <v>4.7</v>
      </c>
      <c r="D900" s="29" t="s">
        <v>910</v>
      </c>
      <c r="E900" s="29" t="s">
        <v>743</v>
      </c>
      <c r="F900" s="29">
        <v>3.0000000000000001E-3</v>
      </c>
      <c r="G900" s="30">
        <v>1.2E-2</v>
      </c>
      <c r="H900" s="30">
        <v>29</v>
      </c>
      <c r="I900" s="29" t="s">
        <v>908</v>
      </c>
      <c r="J900" s="22">
        <f t="shared" si="19"/>
        <v>2.062782328158952E-4</v>
      </c>
    </row>
    <row r="901" spans="1:10" x14ac:dyDescent="0.15">
      <c r="A901" s="29" t="s">
        <v>907</v>
      </c>
      <c r="B901" s="29" t="s">
        <v>925</v>
      </c>
      <c r="C901" s="29">
        <v>4.7</v>
      </c>
      <c r="D901" s="29" t="s">
        <v>569</v>
      </c>
      <c r="E901" s="29" t="s">
        <v>743</v>
      </c>
      <c r="F901" s="29">
        <v>1.6999999999999999E-3</v>
      </c>
      <c r="G901" s="30">
        <v>1.7000000000000001E-2</v>
      </c>
      <c r="H901" s="30">
        <v>24</v>
      </c>
      <c r="I901" s="29" t="s">
        <v>908</v>
      </c>
      <c r="J901" s="22">
        <f t="shared" si="19"/>
        <v>8.6183533739868002E-5</v>
      </c>
    </row>
    <row r="902" spans="1:10" x14ac:dyDescent="0.15">
      <c r="A902" s="29" t="s">
        <v>907</v>
      </c>
      <c r="B902" s="29" t="s">
        <v>925</v>
      </c>
      <c r="C902" s="29">
        <v>4.7</v>
      </c>
      <c r="D902" s="29" t="s">
        <v>656</v>
      </c>
      <c r="E902" s="29" t="s">
        <v>743</v>
      </c>
      <c r="F902" s="29">
        <v>4.0000000000000002E-4</v>
      </c>
      <c r="G902" s="30">
        <v>2.9000000000000001E-2</v>
      </c>
      <c r="H902" s="30">
        <v>0</v>
      </c>
      <c r="I902" s="29" t="s">
        <v>908</v>
      </c>
      <c r="J902" s="22">
        <f t="shared" si="19"/>
        <v>1.3012361743656473E-5</v>
      </c>
    </row>
    <row r="903" spans="1:10" x14ac:dyDescent="0.15">
      <c r="A903" s="29" t="s">
        <v>907</v>
      </c>
      <c r="B903" s="29" t="s">
        <v>925</v>
      </c>
      <c r="C903" s="29">
        <v>4.7</v>
      </c>
      <c r="D903" s="29" t="s">
        <v>571</v>
      </c>
      <c r="E903" s="29" t="s">
        <v>743</v>
      </c>
      <c r="F903" s="29">
        <v>1.1999999999999999E-3</v>
      </c>
      <c r="G903" s="30">
        <v>1.7000000000000001E-2</v>
      </c>
      <c r="H903" s="30">
        <v>25</v>
      </c>
      <c r="I903" s="29" t="s">
        <v>908</v>
      </c>
      <c r="J903" s="22">
        <f t="shared" si="19"/>
        <v>6.0353459736069915E-5</v>
      </c>
    </row>
    <row r="904" spans="1:10" x14ac:dyDescent="0.15">
      <c r="A904" s="29" t="s">
        <v>907</v>
      </c>
      <c r="B904" s="29" t="s">
        <v>925</v>
      </c>
      <c r="C904" s="29">
        <v>4.7</v>
      </c>
      <c r="D904" s="29" t="s">
        <v>572</v>
      </c>
      <c r="E904" s="29" t="s">
        <v>743</v>
      </c>
      <c r="F904" s="29">
        <v>1.6000000000000001E-3</v>
      </c>
      <c r="G904" s="30">
        <v>1.7000000000000001E-2</v>
      </c>
      <c r="H904" s="30">
        <v>24</v>
      </c>
      <c r="I904" s="29" t="s">
        <v>908</v>
      </c>
      <c r="J904" s="22">
        <f t="shared" si="19"/>
        <v>8.1113914108111072E-5</v>
      </c>
    </row>
    <row r="905" spans="1:10" x14ac:dyDescent="0.15">
      <c r="A905" s="29" t="s">
        <v>907</v>
      </c>
      <c r="B905" s="29" t="s">
        <v>925</v>
      </c>
      <c r="C905" s="29">
        <v>4.7</v>
      </c>
      <c r="D905" s="29" t="s">
        <v>549</v>
      </c>
      <c r="E905" s="29" t="s">
        <v>743</v>
      </c>
      <c r="F905" s="29">
        <v>1.4E-3</v>
      </c>
      <c r="G905" s="30">
        <v>3.3000000000000002E-2</v>
      </c>
      <c r="H905" s="30">
        <v>23</v>
      </c>
      <c r="I905" s="29" t="s">
        <v>908</v>
      </c>
      <c r="J905" s="22">
        <f t="shared" si="19"/>
        <v>3.6841246278828367E-5</v>
      </c>
    </row>
    <row r="906" spans="1:10" x14ac:dyDescent="0.15">
      <c r="A906" s="29" t="s">
        <v>907</v>
      </c>
      <c r="B906" s="29" t="s">
        <v>925</v>
      </c>
      <c r="C906" s="29">
        <v>4.7</v>
      </c>
      <c r="D906" s="29" t="s">
        <v>550</v>
      </c>
      <c r="E906" s="29" t="s">
        <v>743</v>
      </c>
      <c r="F906" s="29">
        <v>1.4E-3</v>
      </c>
      <c r="G906" s="30">
        <v>4.2000000000000003E-2</v>
      </c>
      <c r="H906" s="30">
        <v>0</v>
      </c>
      <c r="I906" s="29" t="s">
        <v>908</v>
      </c>
      <c r="J906" s="22">
        <f t="shared" si="19"/>
        <v>3.1446540880503143E-5</v>
      </c>
    </row>
    <row r="907" spans="1:10" x14ac:dyDescent="0.15">
      <c r="A907" s="29" t="s">
        <v>907</v>
      </c>
      <c r="B907" s="29" t="s">
        <v>925</v>
      </c>
      <c r="C907" s="29">
        <v>4.7</v>
      </c>
      <c r="D907" s="29" t="s">
        <v>442</v>
      </c>
      <c r="E907" s="29" t="s">
        <v>743</v>
      </c>
      <c r="F907" s="29">
        <v>1.2999999999999999E-3</v>
      </c>
      <c r="G907" s="30">
        <v>1.2999999999999999E-2</v>
      </c>
      <c r="H907" s="30">
        <v>25</v>
      </c>
      <c r="I907" s="29" t="s">
        <v>908</v>
      </c>
      <c r="J907" s="22">
        <f t="shared" si="19"/>
        <v>8.5500734626099039E-5</v>
      </c>
    </row>
    <row r="908" spans="1:10" x14ac:dyDescent="0.15">
      <c r="A908" s="29" t="s">
        <v>907</v>
      </c>
      <c r="B908" s="29" t="s">
        <v>925</v>
      </c>
      <c r="C908" s="29">
        <v>4.7</v>
      </c>
      <c r="D908" s="29" t="s">
        <v>443</v>
      </c>
      <c r="E908" s="29" t="s">
        <v>743</v>
      </c>
      <c r="F908" s="29">
        <v>1.1999999999999999E-3</v>
      </c>
      <c r="G908" s="30">
        <v>1.4E-2</v>
      </c>
      <c r="H908" s="30">
        <v>29</v>
      </c>
      <c r="I908" s="29" t="s">
        <v>908</v>
      </c>
      <c r="J908" s="22">
        <f t="shared" si="19"/>
        <v>7.0723965536878349E-5</v>
      </c>
    </row>
    <row r="909" spans="1:10" x14ac:dyDescent="0.15">
      <c r="A909" s="29" t="s">
        <v>907</v>
      </c>
      <c r="B909" s="29" t="s">
        <v>925</v>
      </c>
      <c r="C909" s="29">
        <v>4.7</v>
      </c>
      <c r="D909" s="29" t="s">
        <v>8</v>
      </c>
      <c r="E909" s="29" t="s">
        <v>743</v>
      </c>
      <c r="F909" s="29">
        <v>6.9999999999999999E-4</v>
      </c>
      <c r="G909" s="30">
        <v>1.2999999999999999E-2</v>
      </c>
      <c r="H909" s="30">
        <v>24</v>
      </c>
      <c r="I909" s="29" t="s">
        <v>908</v>
      </c>
      <c r="J909" s="22">
        <f t="shared" si="19"/>
        <v>4.640651816762124E-5</v>
      </c>
    </row>
    <row r="910" spans="1:10" x14ac:dyDescent="0.15">
      <c r="A910" s="29" t="s">
        <v>907</v>
      </c>
      <c r="B910" s="29" t="s">
        <v>925</v>
      </c>
      <c r="C910" s="29">
        <v>4.7</v>
      </c>
      <c r="D910" s="29" t="s">
        <v>574</v>
      </c>
      <c r="E910" s="29" t="s">
        <v>743</v>
      </c>
      <c r="F910" s="29">
        <v>2.9999999999999997E-4</v>
      </c>
      <c r="G910" s="30">
        <v>1.4E-2</v>
      </c>
      <c r="H910" s="30">
        <v>21</v>
      </c>
      <c r="I910" s="29" t="s">
        <v>908</v>
      </c>
      <c r="J910" s="22">
        <f t="shared" si="19"/>
        <v>1.8872919673124024E-5</v>
      </c>
    </row>
    <row r="911" spans="1:10" x14ac:dyDescent="0.15">
      <c r="A911" s="29" t="s">
        <v>907</v>
      </c>
      <c r="B911" s="29" t="s">
        <v>925</v>
      </c>
      <c r="C911" s="29">
        <v>4.7</v>
      </c>
      <c r="D911" s="29" t="s">
        <v>911</v>
      </c>
      <c r="E911" s="29" t="s">
        <v>743</v>
      </c>
      <c r="F911" s="29">
        <v>8.9999999999999998E-4</v>
      </c>
      <c r="G911" s="30">
        <v>1.2E-2</v>
      </c>
      <c r="H911" s="30">
        <v>22</v>
      </c>
      <c r="I911" s="29" t="s">
        <v>908</v>
      </c>
      <c r="J911" s="22">
        <f t="shared" si="19"/>
        <v>6.5602631219348166E-5</v>
      </c>
    </row>
    <row r="912" spans="1:10" x14ac:dyDescent="0.15">
      <c r="A912" s="29" t="s">
        <v>907</v>
      </c>
      <c r="B912" s="29" t="s">
        <v>925</v>
      </c>
      <c r="C912" s="29">
        <v>4.7</v>
      </c>
      <c r="D912" s="29" t="s">
        <v>387</v>
      </c>
      <c r="E912" s="29" t="s">
        <v>743</v>
      </c>
      <c r="F912" s="29">
        <v>1E-4</v>
      </c>
      <c r="G912" s="30">
        <v>8.0000000000000002E-3</v>
      </c>
      <c r="H912" s="30">
        <v>0</v>
      </c>
      <c r="I912" s="29" t="s">
        <v>908</v>
      </c>
      <c r="J912" s="22">
        <f t="shared" si="19"/>
        <v>1.1792452830188679E-5</v>
      </c>
    </row>
    <row r="913" spans="1:10" x14ac:dyDescent="0.15">
      <c r="A913" s="29" t="s">
        <v>907</v>
      </c>
      <c r="B913" s="29" t="s">
        <v>925</v>
      </c>
      <c r="C913" s="29">
        <v>4.7</v>
      </c>
      <c r="D913" s="29" t="s">
        <v>392</v>
      </c>
      <c r="E913" s="29" t="s">
        <v>743</v>
      </c>
      <c r="F913" s="29">
        <v>5.0000000000000001E-4</v>
      </c>
      <c r="G913" s="30">
        <v>8.0000000000000002E-3</v>
      </c>
      <c r="H913" s="30">
        <v>28</v>
      </c>
      <c r="I913" s="29" t="s">
        <v>908</v>
      </c>
      <c r="J913" s="22">
        <f t="shared" si="19"/>
        <v>5.2060589201587672E-5</v>
      </c>
    </row>
  </sheetData>
  <sortState xmlns:xlrd2="http://schemas.microsoft.com/office/spreadsheetml/2017/richdata2" ref="A299:J336">
    <sortCondition descending="1" ref="E299:E336"/>
  </sortState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53"/>
  <sheetViews>
    <sheetView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baseColWidth="10" defaultColWidth="9.1640625" defaultRowHeight="14" x14ac:dyDescent="0.15"/>
  <cols>
    <col min="1" max="1" width="26.5" style="19" bestFit="1" customWidth="1"/>
    <col min="2" max="2" width="14.6640625" style="19" customWidth="1"/>
    <col min="3" max="3" width="30.83203125" style="19" bestFit="1" customWidth="1"/>
    <col min="4" max="8" width="10.1640625" style="31" customWidth="1"/>
    <col min="9" max="13" width="10" style="29" customWidth="1"/>
    <col min="14" max="18" width="10" style="36" customWidth="1"/>
    <col min="19" max="23" width="10" style="27" customWidth="1"/>
    <col min="24" max="28" width="9.1640625" style="25"/>
    <col min="29" max="16384" width="9.1640625" style="19"/>
  </cols>
  <sheetData>
    <row r="1" spans="1:28" ht="15" x14ac:dyDescent="0.15">
      <c r="D1" s="62" t="s">
        <v>787</v>
      </c>
      <c r="E1" s="62"/>
      <c r="F1" s="62"/>
      <c r="G1" s="62"/>
      <c r="H1" s="62"/>
      <c r="I1" s="63" t="s">
        <v>739</v>
      </c>
      <c r="J1" s="63"/>
      <c r="K1" s="63"/>
      <c r="L1" s="63"/>
      <c r="M1" s="63"/>
      <c r="N1" s="66" t="s">
        <v>879</v>
      </c>
      <c r="O1" s="66"/>
      <c r="P1" s="66"/>
      <c r="Q1" s="66"/>
      <c r="R1" s="66"/>
      <c r="S1" s="64" t="s">
        <v>763</v>
      </c>
      <c r="T1" s="64"/>
      <c r="U1" s="64"/>
      <c r="V1" s="64"/>
      <c r="W1" s="64"/>
      <c r="X1" s="65" t="s">
        <v>918</v>
      </c>
      <c r="Y1" s="65"/>
      <c r="Z1" s="65"/>
      <c r="AA1" s="65"/>
      <c r="AB1" s="65"/>
    </row>
    <row r="2" spans="1:28" x14ac:dyDescent="0.15">
      <c r="A2" s="20" t="s">
        <v>0</v>
      </c>
      <c r="B2" s="20" t="s">
        <v>69</v>
      </c>
      <c r="C2" s="20" t="s">
        <v>57</v>
      </c>
      <c r="D2" s="18" t="s">
        <v>740</v>
      </c>
      <c r="E2" s="18" t="s">
        <v>808</v>
      </c>
      <c r="F2" s="18" t="s">
        <v>736</v>
      </c>
      <c r="G2" s="18" t="s">
        <v>737</v>
      </c>
      <c r="H2" s="18" t="s">
        <v>738</v>
      </c>
      <c r="I2" s="16" t="s">
        <v>740</v>
      </c>
      <c r="J2" s="16" t="s">
        <v>808</v>
      </c>
      <c r="K2" s="16" t="s">
        <v>736</v>
      </c>
      <c r="L2" s="16" t="s">
        <v>737</v>
      </c>
      <c r="M2" s="16" t="s">
        <v>738</v>
      </c>
      <c r="N2" s="54" t="s">
        <v>740</v>
      </c>
      <c r="O2" s="54" t="s">
        <v>808</v>
      </c>
      <c r="P2" s="54" t="s">
        <v>736</v>
      </c>
      <c r="Q2" s="54" t="s">
        <v>737</v>
      </c>
      <c r="R2" s="54" t="s">
        <v>738</v>
      </c>
      <c r="S2" s="17" t="s">
        <v>740</v>
      </c>
      <c r="T2" s="17" t="s">
        <v>808</v>
      </c>
      <c r="U2" s="17" t="s">
        <v>736</v>
      </c>
      <c r="V2" s="17" t="s">
        <v>737</v>
      </c>
      <c r="W2" s="17" t="s">
        <v>738</v>
      </c>
      <c r="X2" s="51" t="s">
        <v>740</v>
      </c>
      <c r="Y2" s="51" t="s">
        <v>808</v>
      </c>
      <c r="Z2" s="51" t="s">
        <v>736</v>
      </c>
      <c r="AA2" s="51" t="s">
        <v>737</v>
      </c>
      <c r="AB2" s="51" t="s">
        <v>738</v>
      </c>
    </row>
    <row r="3" spans="1:28" x14ac:dyDescent="0.15">
      <c r="A3" s="19" t="s">
        <v>66</v>
      </c>
      <c r="B3" s="19">
        <v>57.7</v>
      </c>
      <c r="C3" s="19" t="s">
        <v>60</v>
      </c>
      <c r="D3" s="43">
        <v>2.52102</v>
      </c>
      <c r="E3" s="43">
        <v>1.6107400000000001</v>
      </c>
      <c r="F3" s="43">
        <v>2.21028</v>
      </c>
      <c r="G3" s="43">
        <v>1.3</v>
      </c>
      <c r="H3" s="43">
        <v>0.31074000000000002</v>
      </c>
      <c r="I3" s="30">
        <v>6.3388423549999996E-4</v>
      </c>
      <c r="J3" s="30">
        <v>5.8121750669999997E-4</v>
      </c>
      <c r="K3" s="30">
        <v>6.0053000519999999E-4</v>
      </c>
      <c r="L3" s="30">
        <v>5.2452904639999998E-4</v>
      </c>
      <c r="M3" s="30">
        <v>7.1726981149999999E-4</v>
      </c>
      <c r="N3" s="37">
        <v>3.7150273704E-4</v>
      </c>
      <c r="O3" s="37">
        <v>3.5614027880000003E-4</v>
      </c>
      <c r="P3" s="37">
        <v>3.4077782056E-4</v>
      </c>
      <c r="Q3" s="37">
        <v>3.3928726694000002E-4</v>
      </c>
      <c r="R3" s="37">
        <v>5.3245747521E-4</v>
      </c>
      <c r="S3" s="28">
        <v>2.218594824E-2</v>
      </c>
      <c r="T3" s="28">
        <v>1.9761395229999999E-2</v>
      </c>
      <c r="U3" s="28">
        <v>1.5013250130000001E-2</v>
      </c>
      <c r="V3" s="28">
        <v>1.258869711E-2</v>
      </c>
      <c r="W3" s="28">
        <v>7.1726981149999999E-3</v>
      </c>
      <c r="X3" s="24">
        <f>D3/(1060*S3)</f>
        <v>0.10719941870363714</v>
      </c>
      <c r="Y3" s="24">
        <f>E3/(1060*T3)</f>
        <v>7.6895685757500498E-2</v>
      </c>
      <c r="Z3" s="24">
        <f>F3/(1060*U3)</f>
        <v>0.13888863459046058</v>
      </c>
      <c r="AA3" s="24">
        <f>G3/(1060*V3)</f>
        <v>9.7421924097721241E-2</v>
      </c>
      <c r="AB3" s="24">
        <f>H3/(1060*W3)</f>
        <v>4.0870386386842442E-2</v>
      </c>
    </row>
    <row r="4" spans="1:28" x14ac:dyDescent="0.15">
      <c r="A4" s="19" t="s">
        <v>65</v>
      </c>
      <c r="B4" s="19">
        <v>20.190000000000001</v>
      </c>
      <c r="C4" s="19" t="s">
        <v>60</v>
      </c>
      <c r="D4" s="43">
        <v>0.81299999999999994</v>
      </c>
      <c r="E4" s="43">
        <v>0.49669999999999997</v>
      </c>
      <c r="F4" s="43">
        <v>0.73170000000000002</v>
      </c>
      <c r="G4" s="43">
        <v>0.41539999999999999</v>
      </c>
      <c r="H4" s="43">
        <v>8.1299999999999997E-2</v>
      </c>
      <c r="I4" s="30">
        <v>6.6723951990000003E-4</v>
      </c>
      <c r="J4" s="30">
        <v>6.0274657129999996E-4</v>
      </c>
      <c r="K4" s="30">
        <v>7.9604098559999997E-4</v>
      </c>
      <c r="L4" s="30">
        <v>7.100427027E-4</v>
      </c>
      <c r="M4" s="30">
        <v>3.4523585579999998E-4</v>
      </c>
      <c r="N4" s="37">
        <v>2.3584905659999999E-4</v>
      </c>
      <c r="O4" s="37">
        <v>2.3194919030999998E-4</v>
      </c>
      <c r="P4" s="37">
        <v>2.716411131E-4</v>
      </c>
      <c r="Q4" s="37">
        <v>2.6241600604999998E-4</v>
      </c>
      <c r="R4" s="37">
        <v>1.3155244069000001E-4</v>
      </c>
      <c r="S4" s="28">
        <v>2.3353383199999998E-2</v>
      </c>
      <c r="T4" s="28">
        <v>2.049338342E-2</v>
      </c>
      <c r="U4" s="28">
        <v>1.9901024640000001E-2</v>
      </c>
      <c r="V4" s="28">
        <v>1.7041024870000001E-2</v>
      </c>
      <c r="W4" s="28">
        <v>3.4523585580000004E-3</v>
      </c>
      <c r="X4" s="24">
        <f t="shared" ref="X4:X38" si="0">D4/(1060*S4)</f>
        <v>3.2842399129367761E-2</v>
      </c>
      <c r="Y4" s="24">
        <f t="shared" ref="Y4:Y19" si="1">E4/(1060*T4)</f>
        <v>2.2865180241690774E-2</v>
      </c>
      <c r="Z4" s="24">
        <f t="shared" ref="Z4:Z38" si="2">F4/(1060*U4)</f>
        <v>3.4685802935015338E-2</v>
      </c>
      <c r="AA4" s="24">
        <f t="shared" ref="AA4:AA19" si="3">G4/(1060*V4)</f>
        <v>2.2996668066762239E-2</v>
      </c>
      <c r="AB4" s="24">
        <f t="shared" ref="AB4:AB38" si="4">H4/(1060*W4)</f>
        <v>2.2216149313291331E-2</v>
      </c>
    </row>
    <row r="5" spans="1:28" x14ac:dyDescent="0.15">
      <c r="A5" s="19" t="s">
        <v>914</v>
      </c>
      <c r="B5" s="19">
        <v>27.7</v>
      </c>
      <c r="C5" s="19" t="s">
        <v>60</v>
      </c>
      <c r="D5" s="43">
        <v>0.98751800000000001</v>
      </c>
      <c r="E5" s="43">
        <v>0.65798800000000002</v>
      </c>
      <c r="F5" s="43">
        <v>0.87532100000000002</v>
      </c>
      <c r="G5" s="43">
        <v>0.54579100000000003</v>
      </c>
      <c r="H5" s="43">
        <v>0.11219700000000001</v>
      </c>
      <c r="I5" s="30">
        <v>3.4005637960000002E-4</v>
      </c>
      <c r="J5" s="30">
        <v>3.0371695719999997E-4</v>
      </c>
      <c r="K5" s="30">
        <v>3.8185679509999997E-4</v>
      </c>
      <c r="L5" s="30">
        <v>3.321176306E-4</v>
      </c>
      <c r="M5" s="30">
        <v>2.3555534090000002E-4</v>
      </c>
      <c r="N5" s="37">
        <v>1.7004959847000001E-4</v>
      </c>
      <c r="O5" s="37">
        <v>1.6771937470999999E-4</v>
      </c>
      <c r="P5" s="37">
        <v>1.7645908690000001E-4</v>
      </c>
      <c r="Q5" s="37">
        <v>1.7325434268999999E-4</v>
      </c>
      <c r="R5" s="37">
        <v>1.5349890305E-4</v>
      </c>
      <c r="S5" s="28">
        <v>1.1901973289999999E-2</v>
      </c>
      <c r="T5" s="28">
        <v>1.032637654E-2</v>
      </c>
      <c r="U5" s="28">
        <v>9.546419879E-3</v>
      </c>
      <c r="V5" s="28">
        <v>7.9708231350000009E-3</v>
      </c>
      <c r="W5" s="28">
        <v>2.3555534089999999E-3</v>
      </c>
      <c r="X5" s="24">
        <f t="shared" si="0"/>
        <v>7.8274478695035052E-2</v>
      </c>
      <c r="Y5" s="24">
        <f t="shared" si="1"/>
        <v>6.0112411533892719E-2</v>
      </c>
      <c r="Z5" s="24">
        <f t="shared" si="2"/>
        <v>8.6500964630563448E-2</v>
      </c>
      <c r="AA5" s="24">
        <f t="shared" si="3"/>
        <v>6.4597741173104156E-2</v>
      </c>
      <c r="AB5" s="24">
        <f t="shared" si="4"/>
        <v>4.4934759708984522E-2</v>
      </c>
    </row>
    <row r="6" spans="1:28" x14ac:dyDescent="0.15">
      <c r="A6" s="19" t="s">
        <v>64</v>
      </c>
      <c r="B6" s="19">
        <v>278</v>
      </c>
      <c r="C6" s="19" t="s">
        <v>60</v>
      </c>
      <c r="D6" s="43">
        <v>6.5728999999999997</v>
      </c>
      <c r="E6" s="43">
        <v>4.2248999999999999</v>
      </c>
      <c r="F6" s="43">
        <v>5.6352000000000002</v>
      </c>
      <c r="G6" s="43">
        <v>3.2871999999999999</v>
      </c>
      <c r="H6" s="43">
        <v>0.93769999999999998</v>
      </c>
      <c r="I6" s="30">
        <v>1.2413492019999999E-3</v>
      </c>
      <c r="J6" s="30">
        <v>1.027981397E-3</v>
      </c>
      <c r="K6" s="30">
        <v>1.3325773229999999E-3</v>
      </c>
      <c r="L6" s="30">
        <v>1.034107439E-3</v>
      </c>
      <c r="M6" s="30">
        <v>1.0132788969999999E-3</v>
      </c>
      <c r="N6" s="37">
        <v>7.9085352145999996E-4</v>
      </c>
      <c r="O6" s="37">
        <v>7.5935198612000002E-4</v>
      </c>
      <c r="P6" s="37">
        <v>9.2107932643E-4</v>
      </c>
      <c r="Q6" s="37">
        <v>8.5596642394999999E-4</v>
      </c>
      <c r="R6" s="37">
        <v>6.5048182916000005E-4</v>
      </c>
      <c r="S6" s="28">
        <v>4.3447222059999999E-2</v>
      </c>
      <c r="T6" s="28">
        <v>3.4951367509999998E-2</v>
      </c>
      <c r="U6" s="28">
        <v>3.3314433089999998E-2</v>
      </c>
      <c r="V6" s="28">
        <v>2.4818578539999997E-2</v>
      </c>
      <c r="W6" s="28">
        <v>1.0132788970000001E-2</v>
      </c>
      <c r="X6" s="24">
        <f t="shared" si="0"/>
        <v>0.14272141606753333</v>
      </c>
      <c r="Y6" s="24">
        <f t="shared" si="1"/>
        <v>0.11403716080181299</v>
      </c>
      <c r="Z6" s="24">
        <f t="shared" si="2"/>
        <v>0.15957727393206378</v>
      </c>
      <c r="AA6" s="24">
        <f t="shared" si="3"/>
        <v>0.12495204229660521</v>
      </c>
      <c r="AB6" s="24">
        <f t="shared" si="4"/>
        <v>8.7302976912725927E-2</v>
      </c>
    </row>
    <row r="7" spans="1:28" x14ac:dyDescent="0.15">
      <c r="A7" s="19" t="s">
        <v>68</v>
      </c>
      <c r="B7" s="19">
        <v>90</v>
      </c>
      <c r="C7" s="19" t="s">
        <v>60</v>
      </c>
      <c r="D7" s="43">
        <v>2.7563300000000002</v>
      </c>
      <c r="E7" s="43">
        <v>1.82233</v>
      </c>
      <c r="F7" s="43">
        <v>2.44082</v>
      </c>
      <c r="G7" s="43">
        <v>1.50682</v>
      </c>
      <c r="H7" s="43">
        <v>0.31551000000000001</v>
      </c>
      <c r="I7" s="30">
        <v>7.1511469600000002E-4</v>
      </c>
      <c r="J7" s="30">
        <v>6.3255752550000002E-4</v>
      </c>
      <c r="K7" s="30">
        <v>7.2548672500000004E-4</v>
      </c>
      <c r="L7" s="30">
        <v>6.0749855730000003E-4</v>
      </c>
      <c r="M7" s="30">
        <v>6.9019315240000003E-4</v>
      </c>
      <c r="N7" s="37">
        <v>4.3086010438000006E-4</v>
      </c>
      <c r="O7" s="37">
        <v>4.0621055151E-4</v>
      </c>
      <c r="P7" s="37">
        <v>5.4068222520999997E-4</v>
      </c>
      <c r="Q7" s="37">
        <v>4.5550965725000002E-4</v>
      </c>
      <c r="R7" s="37">
        <v>3.6634907226000004E-4</v>
      </c>
      <c r="S7" s="28">
        <v>2.4313899660000002E-2</v>
      </c>
      <c r="T7" s="28">
        <v>2.0874398339999999E-2</v>
      </c>
      <c r="U7" s="28">
        <v>1.7411968139999998E-2</v>
      </c>
      <c r="V7" s="28">
        <v>1.397246682E-2</v>
      </c>
      <c r="W7" s="28">
        <v>6.9019315239999997E-3</v>
      </c>
      <c r="X7" s="24">
        <f t="shared" si="0"/>
        <v>0.10694752208065651</v>
      </c>
      <c r="Y7" s="24">
        <f t="shared" si="1"/>
        <v>8.2358265722499338E-2</v>
      </c>
      <c r="Z7" s="24">
        <f t="shared" si="2"/>
        <v>0.13224584141459902</v>
      </c>
      <c r="AA7" s="24">
        <f t="shared" si="3"/>
        <v>0.10173781911237292</v>
      </c>
      <c r="AB7" s="24">
        <f t="shared" si="4"/>
        <v>4.3125745649780577E-2</v>
      </c>
    </row>
    <row r="8" spans="1:28" x14ac:dyDescent="0.15">
      <c r="A8" s="19" t="s">
        <v>67</v>
      </c>
      <c r="B8" s="19">
        <v>10.199999999999999</v>
      </c>
      <c r="C8" s="19" t="s">
        <v>60</v>
      </c>
      <c r="D8" s="43">
        <v>0.48118</v>
      </c>
      <c r="E8" s="43">
        <v>0.29763000000000001</v>
      </c>
      <c r="F8" s="43">
        <v>0.43006</v>
      </c>
      <c r="G8" s="43">
        <v>0.24651000000000001</v>
      </c>
      <c r="H8" s="43">
        <v>5.1119999999999999E-2</v>
      </c>
      <c r="I8" s="30">
        <v>5.4976181810000003E-4</v>
      </c>
      <c r="J8" s="30">
        <v>1.801175228E-4</v>
      </c>
      <c r="K8" s="30">
        <v>6.8893206809999999E-4</v>
      </c>
      <c r="L8" s="30">
        <v>1.7106807690000001E-4</v>
      </c>
      <c r="M8" s="30">
        <v>2.0183619300000001E-4</v>
      </c>
      <c r="N8" s="37">
        <v>1.2939171996000001E-4</v>
      </c>
      <c r="O8" s="37">
        <v>1.2750147898E-4</v>
      </c>
      <c r="P8" s="37">
        <v>1.25611238E-4</v>
      </c>
      <c r="Q8" s="37">
        <v>1.2156639956999999E-4</v>
      </c>
      <c r="R8" s="37">
        <v>1.3289554551E-4</v>
      </c>
      <c r="S8" s="28">
        <v>1.9241663629999999E-2</v>
      </c>
      <c r="T8" s="28">
        <v>6.1239957760000005E-3</v>
      </c>
      <c r="U8" s="28">
        <v>1.7223301699999999E-2</v>
      </c>
      <c r="V8" s="28">
        <v>4.1056338449999997E-3</v>
      </c>
      <c r="W8" s="28">
        <v>2.01836193E-3</v>
      </c>
      <c r="X8" s="24">
        <f t="shared" si="0"/>
        <v>2.3591691703760187E-2</v>
      </c>
      <c r="Y8" s="24">
        <f t="shared" si="1"/>
        <v>4.5849642804836006E-2</v>
      </c>
      <c r="Z8" s="24">
        <f t="shared" si="2"/>
        <v>2.3556283702100826E-2</v>
      </c>
      <c r="AA8" s="24">
        <f t="shared" si="3"/>
        <v>5.6643288844864088E-2</v>
      </c>
      <c r="AB8" s="24">
        <f t="shared" si="4"/>
        <v>2.3893839047162184E-2</v>
      </c>
    </row>
    <row r="9" spans="1:28" x14ac:dyDescent="0.15">
      <c r="A9" s="19" t="s">
        <v>62</v>
      </c>
      <c r="B9" s="19">
        <v>42</v>
      </c>
      <c r="C9" s="19" t="s">
        <v>59</v>
      </c>
      <c r="D9" s="31">
        <v>6.7196999999999996</v>
      </c>
      <c r="E9" s="45"/>
      <c r="F9" s="31">
        <v>3.9097</v>
      </c>
      <c r="G9" s="45"/>
      <c r="H9" s="31">
        <v>2.81</v>
      </c>
      <c r="I9" s="29">
        <v>2.0602393169999998E-3</v>
      </c>
      <c r="J9" s="46"/>
      <c r="K9" s="29">
        <v>1.780661595E-3</v>
      </c>
      <c r="L9" s="46"/>
      <c r="M9" s="29">
        <v>2.439666225E-3</v>
      </c>
      <c r="N9" s="36">
        <v>1.4934572535E-3</v>
      </c>
      <c r="O9" s="55"/>
      <c r="P9" s="36">
        <v>1.3850163893999999E-3</v>
      </c>
      <c r="Q9" s="55"/>
      <c r="R9" s="36">
        <v>1.6656034003999999E-3</v>
      </c>
      <c r="S9" s="27">
        <v>6.7987897450000001E-2</v>
      </c>
      <c r="T9" s="47"/>
      <c r="U9" s="27">
        <v>3.3832570299999996E-2</v>
      </c>
      <c r="V9" s="47"/>
      <c r="W9" s="27">
        <v>3.4155327149999998E-2</v>
      </c>
      <c r="X9" s="25">
        <f t="shared" si="0"/>
        <v>9.3242177805301571E-2</v>
      </c>
      <c r="Y9" s="52"/>
      <c r="Z9" s="25">
        <f t="shared" si="2"/>
        <v>0.10901909590992839</v>
      </c>
      <c r="AA9" s="52"/>
      <c r="AB9" s="25">
        <f t="shared" si="4"/>
        <v>7.761434649957423E-2</v>
      </c>
    </row>
    <row r="10" spans="1:28" x14ac:dyDescent="0.15">
      <c r="A10" s="19" t="s">
        <v>63</v>
      </c>
      <c r="B10" s="19">
        <v>0.54500000000000004</v>
      </c>
      <c r="C10" s="19" t="s">
        <v>752</v>
      </c>
      <c r="D10" s="31">
        <v>3.8442200000000003E-2</v>
      </c>
      <c r="E10" s="45"/>
      <c r="F10" s="31">
        <v>2.6524599999999999E-2</v>
      </c>
      <c r="G10" s="45"/>
      <c r="H10" s="31">
        <v>1.19176E-2</v>
      </c>
      <c r="I10" s="29">
        <v>3.3437356200000002E-5</v>
      </c>
      <c r="J10" s="46"/>
      <c r="K10" s="29">
        <v>3.6733846299999998E-5</v>
      </c>
      <c r="L10" s="46"/>
      <c r="M10" s="29">
        <v>2.9042035900000001E-5</v>
      </c>
      <c r="N10" s="36">
        <v>2.425301294E-5</v>
      </c>
      <c r="O10" s="55"/>
      <c r="P10" s="36">
        <v>3.1195676940000002E-5</v>
      </c>
      <c r="Q10" s="55"/>
      <c r="R10" s="36">
        <v>1.5568348630000002E-5</v>
      </c>
      <c r="S10" s="27">
        <v>1.1703074649999999E-3</v>
      </c>
      <c r="T10" s="47"/>
      <c r="U10" s="27">
        <v>7.3467692639999998E-4</v>
      </c>
      <c r="V10" s="47"/>
      <c r="W10" s="27">
        <v>4.3563053910000005E-4</v>
      </c>
      <c r="X10" s="25">
        <f t="shared" si="0"/>
        <v>3.0988631192824481E-2</v>
      </c>
      <c r="Y10" s="52"/>
      <c r="Z10" s="25">
        <f t="shared" si="2"/>
        <v>3.4060151677535809E-2</v>
      </c>
      <c r="AA10" s="52"/>
      <c r="AB10" s="25">
        <f t="shared" si="4"/>
        <v>2.580861041365988E-2</v>
      </c>
    </row>
    <row r="11" spans="1:28" x14ac:dyDescent="0.15">
      <c r="A11" s="19" t="s">
        <v>72</v>
      </c>
      <c r="B11" s="19">
        <v>2.0790000000000002</v>
      </c>
      <c r="C11" s="19" t="s">
        <v>61</v>
      </c>
      <c r="D11" s="31">
        <v>0.149427</v>
      </c>
      <c r="E11" s="45"/>
      <c r="F11" s="31">
        <v>9.5631999999999995E-2</v>
      </c>
      <c r="G11" s="45"/>
      <c r="H11" s="31">
        <v>5.3795000000000003E-2</v>
      </c>
      <c r="I11" s="29">
        <v>9.9430010000000002E-5</v>
      </c>
      <c r="J11" s="46"/>
      <c r="K11" s="29">
        <v>9.9567983099999998E-5</v>
      </c>
      <c r="L11" s="46"/>
      <c r="M11" s="29">
        <v>9.9251456699999991E-5</v>
      </c>
      <c r="N11" s="36">
        <v>7.9695894349999998E-5</v>
      </c>
      <c r="O11" s="55"/>
      <c r="P11" s="36">
        <v>8.1287839090000006E-5</v>
      </c>
      <c r="Q11" s="55"/>
      <c r="R11" s="36">
        <v>7.7761800909999999E-5</v>
      </c>
      <c r="S11" s="27">
        <v>3.8777703920000002E-3</v>
      </c>
      <c r="T11" s="47"/>
      <c r="U11" s="27">
        <v>2.1904956269999999E-3</v>
      </c>
      <c r="V11" s="47"/>
      <c r="W11" s="27">
        <v>1.6872747640000001E-3</v>
      </c>
      <c r="X11" s="25">
        <f t="shared" si="0"/>
        <v>3.6353072429288973E-2</v>
      </c>
      <c r="Y11" s="52"/>
      <c r="Z11" s="25">
        <f t="shared" si="2"/>
        <v>4.1186509031331794E-2</v>
      </c>
      <c r="AA11" s="52"/>
      <c r="AB11" s="25">
        <f t="shared" si="4"/>
        <v>3.0078088692376125E-2</v>
      </c>
    </row>
    <row r="12" spans="1:28" x14ac:dyDescent="0.15">
      <c r="A12" s="19" t="s">
        <v>1</v>
      </c>
      <c r="B12" s="19">
        <v>105</v>
      </c>
      <c r="C12" s="19" t="s">
        <v>58</v>
      </c>
      <c r="D12" s="31">
        <v>16.943000000000001</v>
      </c>
      <c r="E12" s="45"/>
      <c r="F12" s="31">
        <v>11.321999999999999</v>
      </c>
      <c r="G12" s="45"/>
      <c r="H12" s="31">
        <v>5.6210000000000004</v>
      </c>
      <c r="I12" s="29">
        <v>5.8087026E-3</v>
      </c>
      <c r="J12" s="46"/>
      <c r="K12" s="29">
        <v>4.7333805349999997E-3</v>
      </c>
      <c r="L12" s="46"/>
      <c r="M12" s="29">
        <v>7.6009060410000004E-3</v>
      </c>
      <c r="N12" s="36">
        <v>4.5995980322999994E-3</v>
      </c>
      <c r="O12" s="55"/>
      <c r="P12" s="36">
        <v>3.5104072060000002E-3</v>
      </c>
      <c r="Q12" s="55"/>
      <c r="R12" s="36">
        <v>5.2237674775000003E-3</v>
      </c>
      <c r="S12" s="27">
        <v>0.1858784832</v>
      </c>
      <c r="T12" s="47"/>
      <c r="U12" s="27">
        <v>9.4667610700000002E-2</v>
      </c>
      <c r="V12" s="47"/>
      <c r="W12" s="27">
        <v>9.1210872499999998E-2</v>
      </c>
      <c r="X12" s="25">
        <f t="shared" si="0"/>
        <v>8.599146059822671E-2</v>
      </c>
      <c r="Y12" s="52"/>
      <c r="Z12" s="25">
        <f t="shared" si="2"/>
        <v>0.11282773481333565</v>
      </c>
      <c r="AA12" s="52"/>
      <c r="AB12" s="25">
        <f t="shared" si="4"/>
        <v>5.8138136861690975E-2</v>
      </c>
    </row>
    <row r="13" spans="1:28" x14ac:dyDescent="0.15">
      <c r="A13" s="19" t="s">
        <v>823</v>
      </c>
      <c r="B13" s="19">
        <v>1.45</v>
      </c>
      <c r="C13" s="19" t="s">
        <v>824</v>
      </c>
      <c r="D13" s="31">
        <v>0.1927315</v>
      </c>
      <c r="E13" s="45"/>
      <c r="F13" s="31">
        <v>0.1441114</v>
      </c>
      <c r="G13" s="45"/>
      <c r="H13" s="31">
        <v>4.8620099999999999E-2</v>
      </c>
      <c r="I13" s="29">
        <v>1.2300000000000001E-4</v>
      </c>
      <c r="J13" s="46"/>
      <c r="K13" s="29">
        <v>1.4100000000000001E-4</v>
      </c>
      <c r="L13" s="46"/>
      <c r="M13" s="50">
        <v>9.7200000000000004E-5</v>
      </c>
      <c r="N13" s="36">
        <v>1.0002212412E-4</v>
      </c>
      <c r="O13" s="55"/>
      <c r="P13" s="36">
        <v>1.1378464376999999E-4</v>
      </c>
      <c r="Q13" s="55"/>
      <c r="R13" s="36">
        <v>8.705940397000001E-5</v>
      </c>
      <c r="S13" s="27">
        <v>4.1900000000000001E-3</v>
      </c>
      <c r="T13" s="47"/>
      <c r="U13" s="27">
        <v>2.8289999999999999E-3</v>
      </c>
      <c r="V13" s="47"/>
      <c r="W13" s="27">
        <v>1.361E-3</v>
      </c>
      <c r="X13" s="25">
        <f t="shared" si="0"/>
        <v>4.3394312604133831E-2</v>
      </c>
      <c r="Y13" s="52"/>
      <c r="Z13" s="25">
        <f t="shared" si="2"/>
        <v>4.805731740664413E-2</v>
      </c>
      <c r="AA13" s="52"/>
      <c r="AB13" s="25">
        <f t="shared" si="4"/>
        <v>3.3701703797152482E-2</v>
      </c>
    </row>
    <row r="14" spans="1:28" x14ac:dyDescent="0.15">
      <c r="A14" s="19" t="s">
        <v>74</v>
      </c>
      <c r="B14" s="19">
        <v>37.299999999999997</v>
      </c>
      <c r="C14" s="19" t="s">
        <v>361</v>
      </c>
      <c r="D14" s="31">
        <v>1.9757496000000001</v>
      </c>
      <c r="E14" s="31">
        <v>1.55151241</v>
      </c>
      <c r="F14" s="31">
        <v>1.70371483</v>
      </c>
      <c r="G14" s="31">
        <v>1.2794776400000001</v>
      </c>
      <c r="H14" s="31">
        <v>0.27203476999999998</v>
      </c>
      <c r="I14" s="29">
        <v>7.5720065889999996E-4</v>
      </c>
      <c r="J14" s="29">
        <v>6.2289261879999995E-4</v>
      </c>
      <c r="K14" s="29">
        <v>8.5764475900000007E-4</v>
      </c>
      <c r="L14" s="29">
        <v>6.7295070889999997E-4</v>
      </c>
      <c r="M14" s="29">
        <v>5.0609040860000003E-4</v>
      </c>
      <c r="N14" s="36">
        <v>5.5344101268999999E-4</v>
      </c>
      <c r="O14" s="36">
        <v>5.3640569950000002E-4</v>
      </c>
      <c r="P14" s="36">
        <v>6.1280488808999997E-4</v>
      </c>
      <c r="Q14" s="36">
        <v>6.1224175270000001E-4</v>
      </c>
      <c r="R14" s="36">
        <v>4.0101349896000003E-4</v>
      </c>
      <c r="S14" s="27">
        <v>1.5901213840000001E-2</v>
      </c>
      <c r="T14" s="27">
        <v>1.245785238E-2</v>
      </c>
      <c r="U14" s="27">
        <v>1.286467139E-2</v>
      </c>
      <c r="V14" s="27">
        <v>9.4213099240000008E-3</v>
      </c>
      <c r="W14" s="27">
        <v>3.0365424510000001E-3</v>
      </c>
      <c r="X14" s="25">
        <f t="shared" si="0"/>
        <v>0.1172183919879372</v>
      </c>
      <c r="Y14" s="25">
        <f t="shared" si="1"/>
        <v>0.11749143497478083</v>
      </c>
      <c r="Z14" s="25">
        <f t="shared" si="2"/>
        <v>0.12493736472420179</v>
      </c>
      <c r="AA14" s="25">
        <f t="shared" si="3"/>
        <v>0.12811959134086229</v>
      </c>
      <c r="AB14" s="25">
        <f t="shared" si="4"/>
        <v>8.4516050611175231E-2</v>
      </c>
    </row>
    <row r="15" spans="1:28" x14ac:dyDescent="0.15">
      <c r="A15" s="19" t="s">
        <v>75</v>
      </c>
      <c r="B15" s="19">
        <v>1.6</v>
      </c>
      <c r="C15" s="19" t="s">
        <v>361</v>
      </c>
      <c r="D15" s="31">
        <v>8.9212959999999994E-2</v>
      </c>
      <c r="E15" s="31">
        <v>6.5487379999999998E-2</v>
      </c>
      <c r="F15" s="31">
        <v>7.6812480000000002E-2</v>
      </c>
      <c r="G15" s="31">
        <v>5.3086899999999999E-2</v>
      </c>
      <c r="H15" s="31">
        <v>1.240048E-2</v>
      </c>
      <c r="I15" s="29">
        <v>8.7167816600000009E-5</v>
      </c>
      <c r="J15" s="29">
        <v>7.0533359699999994E-5</v>
      </c>
      <c r="K15" s="29">
        <v>1.033844376E-4</v>
      </c>
      <c r="L15" s="29">
        <v>8.0779257699999991E-5</v>
      </c>
      <c r="M15" s="29">
        <v>4.6626264300000001E-5</v>
      </c>
      <c r="N15" s="36">
        <v>6.7001990399999999E-5</v>
      </c>
      <c r="O15" s="36">
        <v>6.344652160000001E-5</v>
      </c>
      <c r="P15" s="36">
        <v>7.013320472E-5</v>
      </c>
      <c r="Q15" s="36">
        <v>7.012895476E-5</v>
      </c>
      <c r="R15" s="36">
        <v>4.2491289289999999E-5</v>
      </c>
      <c r="S15" s="27">
        <v>1.8305241490000001E-3</v>
      </c>
      <c r="T15" s="27">
        <v>1.4106671929999999E-3</v>
      </c>
      <c r="U15" s="27">
        <v>1.550766563E-3</v>
      </c>
      <c r="V15" s="27">
        <v>1.130909607E-3</v>
      </c>
      <c r="W15" s="27">
        <v>2.7975758580000003E-4</v>
      </c>
      <c r="X15" s="25">
        <f t="shared" si="0"/>
        <v>4.5977634251533027E-2</v>
      </c>
      <c r="Y15" s="25">
        <f t="shared" si="1"/>
        <v>4.3795267570110229E-2</v>
      </c>
      <c r="Z15" s="25">
        <f t="shared" si="2"/>
        <v>4.6728247501932316E-2</v>
      </c>
      <c r="AA15" s="25">
        <f t="shared" si="3"/>
        <v>4.4284689794907253E-2</v>
      </c>
      <c r="AB15" s="25">
        <f t="shared" si="4"/>
        <v>4.1816796510744866E-2</v>
      </c>
    </row>
    <row r="16" spans="1:28" x14ac:dyDescent="0.15">
      <c r="A16" s="19" t="s">
        <v>81</v>
      </c>
      <c r="B16" s="19">
        <v>0.17299999999999999</v>
      </c>
      <c r="C16" s="19" t="s">
        <v>361</v>
      </c>
      <c r="D16" s="31">
        <v>1.1460140000000001E-2</v>
      </c>
      <c r="E16" s="31">
        <v>6.8307400000000001E-3</v>
      </c>
      <c r="F16" s="31">
        <v>9.9090500000000008E-3</v>
      </c>
      <c r="G16" s="31">
        <v>5.2796500000000003E-3</v>
      </c>
      <c r="H16" s="31">
        <v>1.55109E-3</v>
      </c>
      <c r="I16" s="29">
        <v>2.37723378E-5</v>
      </c>
      <c r="J16" s="29">
        <v>1.7738070999999999E-5</v>
      </c>
      <c r="K16" s="29">
        <v>2.8424443999999999E-5</v>
      </c>
      <c r="L16" s="29">
        <v>2.01363565E-5</v>
      </c>
      <c r="M16" s="29">
        <v>1.2142071400000001E-5</v>
      </c>
      <c r="N16" s="36">
        <v>1.1055622519999999E-5</v>
      </c>
      <c r="O16" s="36">
        <v>1.094396183E-5</v>
      </c>
      <c r="P16" s="36">
        <v>1.16186606E-5</v>
      </c>
      <c r="Q16" s="36">
        <v>1.122548087E-5</v>
      </c>
      <c r="R16" s="36">
        <v>9.8567380016000001E-6</v>
      </c>
      <c r="S16" s="27">
        <v>4.9921909280000007E-4</v>
      </c>
      <c r="T16" s="27">
        <v>3.5476142010000002E-4</v>
      </c>
      <c r="U16" s="27">
        <v>4.2636666429999995E-4</v>
      </c>
      <c r="V16" s="27">
        <v>2.8190899159999996E-4</v>
      </c>
      <c r="W16" s="27">
        <v>7.2852428499999995E-5</v>
      </c>
      <c r="X16" s="25">
        <f t="shared" si="0"/>
        <v>2.1656729452292852E-2</v>
      </c>
      <c r="Y16" s="25">
        <f t="shared" si="1"/>
        <v>1.8164586041532316E-2</v>
      </c>
      <c r="Z16" s="25">
        <f t="shared" si="2"/>
        <v>2.1925167139194873E-2</v>
      </c>
      <c r="AA16" s="25">
        <f t="shared" si="3"/>
        <v>1.766811997915874E-2</v>
      </c>
      <c r="AB16" s="25">
        <f t="shared" si="4"/>
        <v>2.008570589833102E-2</v>
      </c>
    </row>
    <row r="17" spans="1:28" x14ac:dyDescent="0.15">
      <c r="A17" s="19" t="s">
        <v>76</v>
      </c>
      <c r="B17" s="19">
        <v>2.9359999999999999</v>
      </c>
      <c r="C17" s="19" t="s">
        <v>361</v>
      </c>
      <c r="D17" s="31">
        <v>0.14613425999999999</v>
      </c>
      <c r="E17" s="31">
        <v>0.11526155</v>
      </c>
      <c r="F17" s="31">
        <v>0.12431636</v>
      </c>
      <c r="G17" s="31">
        <v>9.3443650000000003E-2</v>
      </c>
      <c r="H17" s="31">
        <v>2.1817900000000001E-2</v>
      </c>
      <c r="I17" s="29">
        <v>1.3473270170000001E-4</v>
      </c>
      <c r="J17" s="29">
        <v>1.14026114E-4</v>
      </c>
      <c r="K17" s="29">
        <v>1.517366871E-4</v>
      </c>
      <c r="L17" s="29">
        <v>1.2484985060000001E-4</v>
      </c>
      <c r="M17" s="29">
        <v>8.3720781699999996E-5</v>
      </c>
      <c r="N17" s="36">
        <v>9.7254327240000005E-5</v>
      </c>
      <c r="O17" s="36">
        <v>8.8100277500000003E-5</v>
      </c>
      <c r="P17" s="36">
        <v>1.068936173E-4</v>
      </c>
      <c r="Q17" s="36">
        <v>1.0665099709999998E-4</v>
      </c>
      <c r="R17" s="36">
        <v>7.7692947799999998E-5</v>
      </c>
      <c r="S17" s="27">
        <v>2.6946542149999999E-3</v>
      </c>
      <c r="T17" s="27">
        <v>2.1665018170000001E-3</v>
      </c>
      <c r="U17" s="27">
        <v>2.276050306E-3</v>
      </c>
      <c r="V17" s="27">
        <v>1.7478979079999998E-3</v>
      </c>
      <c r="W17" s="27">
        <v>4.1860390849999998E-4</v>
      </c>
      <c r="X17" s="25">
        <f t="shared" si="0"/>
        <v>5.1161484344276899E-2</v>
      </c>
      <c r="Y17" s="25">
        <f t="shared" si="1"/>
        <v>5.0190270078483257E-2</v>
      </c>
      <c r="Z17" s="25">
        <f t="shared" si="2"/>
        <v>5.1527676957092872E-2</v>
      </c>
      <c r="AA17" s="25">
        <f t="shared" si="3"/>
        <v>5.0434517021261199E-2</v>
      </c>
      <c r="AB17" s="25">
        <f t="shared" si="4"/>
        <v>4.91704069416301E-2</v>
      </c>
    </row>
    <row r="18" spans="1:28" x14ac:dyDescent="0.15">
      <c r="A18" s="19" t="s">
        <v>363</v>
      </c>
      <c r="B18" s="19">
        <v>1.359</v>
      </c>
      <c r="C18" s="19" t="s">
        <v>364</v>
      </c>
      <c r="D18" s="31">
        <v>7.7269400000000002E-2</v>
      </c>
      <c r="E18" s="31">
        <v>6.2731700000000001E-2</v>
      </c>
      <c r="F18" s="31">
        <v>5.9326700000000003E-2</v>
      </c>
      <c r="G18" s="31">
        <v>4.4789000000000002E-2</v>
      </c>
      <c r="H18" s="31">
        <v>1.7942699999999999E-2</v>
      </c>
      <c r="I18" s="29">
        <v>7.9518278899999998E-5</v>
      </c>
      <c r="J18" s="29">
        <v>6.8506172600000005E-5</v>
      </c>
      <c r="K18" s="29">
        <v>9.1584586499999997E-5</v>
      </c>
      <c r="L18" s="29">
        <v>7.4017926399999999E-5</v>
      </c>
      <c r="M18" s="29">
        <v>6.00265513E-5</v>
      </c>
      <c r="N18" s="36">
        <v>5.4191981600000003E-5</v>
      </c>
      <c r="O18" s="36">
        <v>4.7379421199999996E-5</v>
      </c>
      <c r="P18" s="36">
        <v>6.0694080520000002E-5</v>
      </c>
      <c r="Q18" s="36">
        <v>6.2536975059999998E-5</v>
      </c>
      <c r="R18" s="36">
        <v>4.09027813E-5</v>
      </c>
      <c r="S18" s="27">
        <v>2.703621483E-3</v>
      </c>
      <c r="T18" s="27">
        <v>2.260703695E-3</v>
      </c>
      <c r="U18" s="27">
        <v>1.9232763169999998E-3</v>
      </c>
      <c r="V18" s="27">
        <v>1.4803585289999998E-3</v>
      </c>
      <c r="W18" s="27">
        <v>7.803451664E-4</v>
      </c>
      <c r="X18" s="25">
        <f t="shared" si="0"/>
        <v>2.6962228564803313E-2</v>
      </c>
      <c r="Y18" s="25">
        <f t="shared" si="1"/>
        <v>2.6178065346420275E-2</v>
      </c>
      <c r="Z18" s="25">
        <f t="shared" si="2"/>
        <v>2.9100646855030336E-2</v>
      </c>
      <c r="AA18" s="25">
        <f t="shared" si="3"/>
        <v>2.8542932510713197E-2</v>
      </c>
      <c r="AB18" s="25">
        <f t="shared" si="4"/>
        <v>2.1691779741250299E-2</v>
      </c>
    </row>
    <row r="19" spans="1:28" x14ac:dyDescent="0.15">
      <c r="A19" s="19" t="s">
        <v>881</v>
      </c>
      <c r="B19" s="19">
        <v>5.11E-2</v>
      </c>
      <c r="C19" s="19" t="s">
        <v>882</v>
      </c>
      <c r="D19" s="31">
        <v>2.6265120000000001E-3</v>
      </c>
      <c r="E19" s="31">
        <v>2.0486440000000001E-3</v>
      </c>
      <c r="F19" s="31">
        <v>2.1599229999999998E-3</v>
      </c>
      <c r="G19" s="31">
        <v>1.582055E-3</v>
      </c>
      <c r="H19" s="31">
        <v>4.66589E-4</v>
      </c>
      <c r="I19" s="30">
        <v>9.2038701999999996E-6</v>
      </c>
      <c r="J19" s="30">
        <v>8.8863325000000005E-6</v>
      </c>
      <c r="K19" s="30">
        <v>9.1264750999999997E-6</v>
      </c>
      <c r="L19" s="30">
        <v>8.6172575000000001E-6</v>
      </c>
      <c r="M19" s="30">
        <v>9.3476038999999994E-6</v>
      </c>
      <c r="N19" s="37">
        <v>5.8091958000000002E-6</v>
      </c>
      <c r="O19" s="37">
        <v>5.735371E-6</v>
      </c>
      <c r="P19" s="37">
        <v>5.4631177000000005E-6</v>
      </c>
      <c r="Q19" s="37">
        <v>5.2011277000000002E-6</v>
      </c>
      <c r="R19" s="37">
        <v>6.6382999999999996E-6</v>
      </c>
      <c r="S19" s="28">
        <v>1.8407740370000002E-4</v>
      </c>
      <c r="T19" s="28">
        <v>1.6884031729999998E-4</v>
      </c>
      <c r="U19" s="28">
        <v>1.1864417670000001E-4</v>
      </c>
      <c r="V19" s="28">
        <v>1.0340709029999999E-4</v>
      </c>
      <c r="W19" s="28">
        <v>6.543322700000001E-5</v>
      </c>
      <c r="X19" s="25">
        <f>D19/(1060*S19)</f>
        <v>1.3460867328790786E-2</v>
      </c>
      <c r="Y19" s="25">
        <f t="shared" si="1"/>
        <v>1.1446809919421567E-2</v>
      </c>
      <c r="Z19" s="25">
        <f t="shared" si="2"/>
        <v>1.7174574127641694E-2</v>
      </c>
      <c r="AA19" s="25">
        <f t="shared" si="3"/>
        <v>1.4433291882124763E-2</v>
      </c>
      <c r="AB19" s="25">
        <f t="shared" si="4"/>
        <v>6.7271372981007405E-3</v>
      </c>
    </row>
    <row r="20" spans="1:28" x14ac:dyDescent="0.15">
      <c r="A20" s="19" t="s">
        <v>95</v>
      </c>
      <c r="B20" s="19">
        <v>27</v>
      </c>
      <c r="C20" s="19" t="s">
        <v>112</v>
      </c>
      <c r="D20" s="31">
        <v>1.641832701</v>
      </c>
      <c r="E20" s="45"/>
      <c r="F20" s="31">
        <v>1.426132929</v>
      </c>
      <c r="G20" s="45"/>
      <c r="H20" s="31">
        <v>0.21569977100000001</v>
      </c>
      <c r="I20" s="29">
        <v>9.691034482999999E-4</v>
      </c>
      <c r="J20" s="46"/>
      <c r="K20" s="29">
        <v>8.2309523810000004E-4</v>
      </c>
      <c r="L20" s="46"/>
      <c r="M20" s="29">
        <v>1.3523750000000001E-3</v>
      </c>
      <c r="N20" s="36">
        <v>6.6600000000000003E-4</v>
      </c>
      <c r="O20" s="55"/>
      <c r="P20" s="36">
        <v>7.1400000000000001E-4</v>
      </c>
      <c r="Q20" s="55"/>
      <c r="R20" s="36">
        <v>1.0505E-3</v>
      </c>
      <c r="S20" s="27">
        <v>2.8104000000000001E-2</v>
      </c>
      <c r="T20" s="47"/>
      <c r="U20" s="27">
        <v>1.7284999999999998E-2</v>
      </c>
      <c r="V20" s="47"/>
      <c r="W20" s="27">
        <v>1.0819E-2</v>
      </c>
      <c r="X20" s="25">
        <f t="shared" si="0"/>
        <v>5.5113107547975444E-2</v>
      </c>
      <c r="Y20" s="52"/>
      <c r="Z20" s="25">
        <f t="shared" si="2"/>
        <v>7.7836761561174764E-2</v>
      </c>
      <c r="AA20" s="52"/>
      <c r="AB20" s="25">
        <f t="shared" si="4"/>
        <v>1.8808609853036326E-2</v>
      </c>
    </row>
    <row r="21" spans="1:28" x14ac:dyDescent="0.15">
      <c r="A21" s="19" t="s">
        <v>131</v>
      </c>
      <c r="B21" s="19">
        <v>2.3449999999999999E-2</v>
      </c>
      <c r="C21" s="19" t="s">
        <v>132</v>
      </c>
      <c r="D21" s="31">
        <v>9.9989000000000002E-4</v>
      </c>
      <c r="E21" s="45"/>
      <c r="F21" s="31">
        <v>7.6413999999999996E-4</v>
      </c>
      <c r="G21" s="45"/>
      <c r="H21" s="31">
        <v>2.3575000000000001E-4</v>
      </c>
      <c r="I21" s="29">
        <v>3.7735561000000002E-6</v>
      </c>
      <c r="J21" s="46"/>
      <c r="K21" s="29">
        <v>4.0172050999999997E-6</v>
      </c>
      <c r="L21" s="46"/>
      <c r="M21" s="29">
        <v>3.3999611E-6</v>
      </c>
      <c r="N21" s="36">
        <v>2.01195231E-6</v>
      </c>
      <c r="O21" s="55"/>
      <c r="P21" s="36">
        <v>2.2349987852999999E-6</v>
      </c>
      <c r="Q21" s="55"/>
      <c r="R21" s="36">
        <v>1.5046273500000001E-6</v>
      </c>
      <c r="S21" s="27">
        <v>1.433951329E-4</v>
      </c>
      <c r="T21" s="47"/>
      <c r="U21" s="27">
        <v>9.2395716900000002E-5</v>
      </c>
      <c r="V21" s="47"/>
      <c r="W21" s="27">
        <v>5.0999415999999995E-5</v>
      </c>
      <c r="X21" s="25">
        <f t="shared" si="0"/>
        <v>6.5782738490016675E-3</v>
      </c>
      <c r="Y21" s="52"/>
      <c r="Z21" s="25">
        <f t="shared" si="2"/>
        <v>7.8021667739538916E-3</v>
      </c>
      <c r="AA21" s="52"/>
      <c r="AB21" s="25">
        <f t="shared" si="4"/>
        <v>4.3609452386152523E-3</v>
      </c>
    </row>
    <row r="22" spans="1:28" x14ac:dyDescent="0.15">
      <c r="A22" s="19" t="s">
        <v>153</v>
      </c>
      <c r="B22" s="19">
        <v>510</v>
      </c>
      <c r="C22" s="19" t="s">
        <v>154</v>
      </c>
      <c r="D22" s="31">
        <v>48.253</v>
      </c>
      <c r="E22" s="45"/>
      <c r="F22" s="31">
        <v>44.222999999999999</v>
      </c>
      <c r="G22" s="45"/>
      <c r="H22" s="31">
        <v>4.03</v>
      </c>
      <c r="I22" s="29">
        <v>9.6851640119999995E-3</v>
      </c>
      <c r="J22" s="46"/>
      <c r="K22" s="29">
        <v>9.3599629910000003E-3</v>
      </c>
      <c r="L22" s="46"/>
      <c r="M22" s="29">
        <v>1.030600232E-2</v>
      </c>
      <c r="N22" s="36">
        <v>5.3329884360000003E-3</v>
      </c>
      <c r="O22" s="55"/>
      <c r="P22" s="36">
        <v>8.1594523454999995E-3</v>
      </c>
      <c r="Q22" s="55"/>
      <c r="R22" s="36">
        <v>5.1658528085999997E-3</v>
      </c>
      <c r="S22" s="27">
        <v>0.30992524840000002</v>
      </c>
      <c r="T22" s="47"/>
      <c r="U22" s="27">
        <v>0.19655922279999999</v>
      </c>
      <c r="V22" s="47"/>
      <c r="W22" s="27">
        <v>0.11336602559999999</v>
      </c>
      <c r="X22" s="25">
        <f t="shared" si="0"/>
        <v>0.14687960515709808</v>
      </c>
      <c r="Y22" s="52"/>
      <c r="Z22" s="25">
        <f t="shared" si="2"/>
        <v>0.21225059158483159</v>
      </c>
      <c r="AA22" s="52"/>
      <c r="AB22" s="25">
        <f t="shared" si="4"/>
        <v>3.3536385988050643E-2</v>
      </c>
    </row>
    <row r="23" spans="1:28" x14ac:dyDescent="0.15">
      <c r="A23" s="19" t="s">
        <v>906</v>
      </c>
      <c r="B23" s="19">
        <v>1.1000000000000001</v>
      </c>
      <c r="C23" s="19" t="s">
        <v>164</v>
      </c>
      <c r="D23" s="31">
        <v>0.10852100000000001</v>
      </c>
      <c r="E23" s="45"/>
      <c r="F23" s="31">
        <v>8.5485000000000005E-2</v>
      </c>
      <c r="G23" s="45"/>
      <c r="H23" s="31">
        <v>2.3036000000000001E-2</v>
      </c>
      <c r="I23" s="29">
        <v>8.7289555699999997E-5</v>
      </c>
      <c r="J23" s="46"/>
      <c r="K23" s="29">
        <v>9.4816741699999996E-5</v>
      </c>
      <c r="L23" s="46"/>
      <c r="M23" s="29">
        <v>7.3393212300000002E-5</v>
      </c>
      <c r="N23" s="36">
        <v>4.2940800000000001E-5</v>
      </c>
      <c r="O23" s="55"/>
      <c r="P23" s="36">
        <v>4.4278450000000003E-5</v>
      </c>
      <c r="Q23" s="55"/>
      <c r="R23" s="36">
        <v>4.2940800000000001E-5</v>
      </c>
      <c r="S23" s="27">
        <v>3.2297135599999999E-3</v>
      </c>
      <c r="T23" s="47"/>
      <c r="U23" s="27">
        <v>2.2756018000000002E-3</v>
      </c>
      <c r="V23" s="47"/>
      <c r="W23" s="27">
        <v>9.5411176E-4</v>
      </c>
      <c r="X23" s="25">
        <f t="shared" si="0"/>
        <v>3.1698879787590964E-2</v>
      </c>
      <c r="Y23" s="52"/>
      <c r="Z23" s="25">
        <f t="shared" si="2"/>
        <v>3.5439516006312857E-2</v>
      </c>
      <c r="AA23" s="52"/>
      <c r="AB23" s="25">
        <f t="shared" si="4"/>
        <v>2.2777284991957455E-2</v>
      </c>
    </row>
    <row r="24" spans="1:28" x14ac:dyDescent="0.15">
      <c r="A24" s="19" t="s">
        <v>202</v>
      </c>
      <c r="B24" s="19">
        <v>2.66</v>
      </c>
      <c r="C24" s="19" t="s">
        <v>164</v>
      </c>
      <c r="D24" s="31">
        <v>0.118829</v>
      </c>
      <c r="E24" s="45"/>
      <c r="F24" s="31">
        <v>9.6334000000000003E-2</v>
      </c>
      <c r="G24" s="45"/>
      <c r="H24" s="31">
        <v>2.2495000000000001E-2</v>
      </c>
      <c r="I24" s="29">
        <v>7.8592808099999998E-5</v>
      </c>
      <c r="J24" s="46"/>
      <c r="K24" s="29">
        <v>8.30563822E-5</v>
      </c>
      <c r="L24" s="46"/>
      <c r="M24" s="29">
        <v>7.0695715400000009E-5</v>
      </c>
      <c r="N24" s="36">
        <v>4.8225549999999998E-5</v>
      </c>
      <c r="O24" s="56"/>
      <c r="P24" s="36">
        <v>4.6050500000000002E-5</v>
      </c>
      <c r="Q24" s="56"/>
      <c r="R24" s="36">
        <v>5.5272100000000002E-5</v>
      </c>
      <c r="S24" s="27">
        <v>2.82934109E-3</v>
      </c>
      <c r="T24" s="47"/>
      <c r="U24" s="27">
        <v>1.91029679E-3</v>
      </c>
      <c r="V24" s="47"/>
      <c r="W24" s="27">
        <v>9.1904430000000004E-4</v>
      </c>
      <c r="X24" s="25">
        <f t="shared" si="0"/>
        <v>3.9621532583997934E-2</v>
      </c>
      <c r="Y24" s="52"/>
      <c r="Z24" s="25">
        <f t="shared" si="2"/>
        <v>4.7574352085610581E-2</v>
      </c>
      <c r="AA24" s="52"/>
      <c r="AB24" s="25">
        <f t="shared" si="4"/>
        <v>2.3091050249925436E-2</v>
      </c>
    </row>
    <row r="25" spans="1:28" x14ac:dyDescent="0.15">
      <c r="A25" s="19" t="s">
        <v>203</v>
      </c>
      <c r="B25" s="19">
        <v>9.6</v>
      </c>
      <c r="C25" s="19" t="s">
        <v>164</v>
      </c>
      <c r="D25" s="31">
        <v>0.55754100000000006</v>
      </c>
      <c r="E25" s="45"/>
      <c r="F25" s="31">
        <v>0.44</v>
      </c>
      <c r="G25" s="45"/>
      <c r="H25" s="31">
        <v>0.11754100000000001</v>
      </c>
      <c r="I25" s="29">
        <v>2.7603714440000001E-4</v>
      </c>
      <c r="J25" s="46"/>
      <c r="K25" s="29">
        <v>2.6648132609999998E-4</v>
      </c>
      <c r="L25" s="46"/>
      <c r="M25" s="29">
        <v>2.929435923E-4</v>
      </c>
      <c r="N25" s="36">
        <v>1.8752349999999999E-4</v>
      </c>
      <c r="O25" s="56"/>
      <c r="P25" s="36">
        <v>1.7196100000000002E-4</v>
      </c>
      <c r="Q25" s="56"/>
      <c r="R25" s="36">
        <v>1.9818199999999998E-4</v>
      </c>
      <c r="S25" s="27">
        <v>9.9373372000000001E-3</v>
      </c>
      <c r="T25" s="47"/>
      <c r="U25" s="27">
        <v>6.1290705000000001E-3</v>
      </c>
      <c r="V25" s="47"/>
      <c r="W25" s="27">
        <v>3.8082667000000001E-3</v>
      </c>
      <c r="X25" s="25">
        <f t="shared" si="0"/>
        <v>5.2929881001894372E-2</v>
      </c>
      <c r="Y25" s="52"/>
      <c r="Z25" s="25">
        <f t="shared" si="2"/>
        <v>6.7725495998559898E-2</v>
      </c>
      <c r="AA25" s="52"/>
      <c r="AB25" s="25">
        <f t="shared" si="4"/>
        <v>2.9117639226542778E-2</v>
      </c>
    </row>
    <row r="26" spans="1:28" x14ac:dyDescent="0.15">
      <c r="A26" s="19" t="s">
        <v>204</v>
      </c>
      <c r="B26" s="19">
        <v>6.6</v>
      </c>
      <c r="C26" s="19" t="s">
        <v>164</v>
      </c>
      <c r="D26" s="31">
        <v>0.57047000000000003</v>
      </c>
      <c r="E26" s="45"/>
      <c r="F26" s="31">
        <v>0.46228999999999998</v>
      </c>
      <c r="G26" s="45"/>
      <c r="H26" s="31">
        <v>0.10818</v>
      </c>
      <c r="I26" s="29">
        <v>3.102376571E-4</v>
      </c>
      <c r="J26" s="46"/>
      <c r="K26" s="29">
        <v>3.2695113040000001E-4</v>
      </c>
      <c r="L26" s="46"/>
      <c r="M26" s="29">
        <v>2.7820349999999999E-4</v>
      </c>
      <c r="N26" s="36">
        <v>2.1459000000000002E-4</v>
      </c>
      <c r="O26" s="56"/>
      <c r="P26" s="36">
        <v>2.2718500000000003E-4</v>
      </c>
      <c r="Q26" s="56"/>
      <c r="R26" s="36">
        <v>1.3981600000000002E-4</v>
      </c>
      <c r="S26" s="27">
        <v>1.0858318E-2</v>
      </c>
      <c r="T26" s="47"/>
      <c r="U26" s="27">
        <v>7.5198759999999991E-3</v>
      </c>
      <c r="V26" s="47"/>
      <c r="W26" s="27">
        <v>3.3384420000000001E-3</v>
      </c>
      <c r="X26" s="25">
        <f t="shared" si="0"/>
        <v>4.9563776386270769E-2</v>
      </c>
      <c r="Y26" s="52"/>
      <c r="Z26" s="25">
        <f t="shared" si="2"/>
        <v>5.7995988432446757E-2</v>
      </c>
      <c r="AA26" s="52"/>
      <c r="AB26" s="25">
        <f t="shared" si="4"/>
        <v>3.0570129351830854E-2</v>
      </c>
    </row>
    <row r="27" spans="1:28" x14ac:dyDescent="0.15">
      <c r="A27" s="19" t="s">
        <v>205</v>
      </c>
      <c r="B27" s="19">
        <v>36</v>
      </c>
      <c r="C27" s="19" t="s">
        <v>164</v>
      </c>
      <c r="D27" s="31">
        <v>1.6453</v>
      </c>
      <c r="E27" s="45"/>
      <c r="F27" s="31">
        <v>1.3103</v>
      </c>
      <c r="G27" s="45"/>
      <c r="H27" s="31">
        <v>0.33500000000000002</v>
      </c>
      <c r="I27" s="29">
        <v>3.5652626320000001E-4</v>
      </c>
      <c r="J27" s="46"/>
      <c r="K27" s="29">
        <v>3.0705892000000004E-4</v>
      </c>
      <c r="L27" s="46"/>
      <c r="M27" s="29">
        <v>4.516557692E-4</v>
      </c>
      <c r="N27" s="36">
        <v>2.5299000000000003E-4</v>
      </c>
      <c r="O27" s="56"/>
      <c r="P27" s="36">
        <v>2.5110999999999997E-4</v>
      </c>
      <c r="Q27" s="56"/>
      <c r="R27" s="36">
        <v>3.35299E-4</v>
      </c>
      <c r="S27" s="27">
        <v>1.3547998E-2</v>
      </c>
      <c r="T27" s="47"/>
      <c r="U27" s="27">
        <v>7.6764729999999996E-3</v>
      </c>
      <c r="V27" s="47"/>
      <c r="W27" s="27">
        <v>5.8715249999999998E-3</v>
      </c>
      <c r="X27" s="25">
        <f t="shared" si="0"/>
        <v>0.11456820493483648</v>
      </c>
      <c r="Y27" s="52"/>
      <c r="Z27" s="25">
        <f t="shared" si="2"/>
        <v>0.16102864889535834</v>
      </c>
      <c r="AA27" s="52"/>
      <c r="AB27" s="25">
        <f t="shared" si="4"/>
        <v>5.3825494373106922E-2</v>
      </c>
    </row>
    <row r="28" spans="1:28" x14ac:dyDescent="0.15">
      <c r="A28" s="19" t="s">
        <v>206</v>
      </c>
      <c r="B28" s="19">
        <v>44</v>
      </c>
      <c r="C28" s="19" t="s">
        <v>164</v>
      </c>
      <c r="D28" s="31">
        <v>3.1197620000000001</v>
      </c>
      <c r="E28" s="45"/>
      <c r="F28" s="31">
        <v>2.419934</v>
      </c>
      <c r="G28" s="45"/>
      <c r="H28" s="31">
        <v>0.69982800000000001</v>
      </c>
      <c r="I28" s="29">
        <v>1.045141889E-3</v>
      </c>
      <c r="J28" s="46"/>
      <c r="K28" s="29">
        <v>9.6295508699999991E-4</v>
      </c>
      <c r="L28" s="46"/>
      <c r="M28" s="29">
        <v>1.190549308E-3</v>
      </c>
      <c r="N28" s="36">
        <v>6.8964299999999998E-4</v>
      </c>
      <c r="O28" s="56"/>
      <c r="P28" s="36">
        <v>6.8008499999999998E-4</v>
      </c>
      <c r="Q28" s="56"/>
      <c r="R28" s="36">
        <v>7.9382699999999999E-4</v>
      </c>
      <c r="S28" s="27">
        <v>3.7625107999999997E-2</v>
      </c>
      <c r="T28" s="47"/>
      <c r="U28" s="27">
        <v>2.2147967000000001E-2</v>
      </c>
      <c r="V28" s="47"/>
      <c r="W28" s="27">
        <v>1.5477141E-2</v>
      </c>
      <c r="X28" s="25">
        <f t="shared" si="0"/>
        <v>7.8223607972453077E-2</v>
      </c>
      <c r="Y28" s="52"/>
      <c r="Z28" s="25">
        <f t="shared" si="2"/>
        <v>0.10307747901979376</v>
      </c>
      <c r="AA28" s="52"/>
      <c r="AB28" s="25">
        <f t="shared" si="4"/>
        <v>4.2657432295772374E-2</v>
      </c>
    </row>
    <row r="29" spans="1:28" x14ac:dyDescent="0.15">
      <c r="A29" s="19" t="s">
        <v>207</v>
      </c>
      <c r="B29" s="19">
        <v>86</v>
      </c>
      <c r="C29" s="19" t="s">
        <v>164</v>
      </c>
      <c r="D29" s="31">
        <v>6.0297999999999998</v>
      </c>
      <c r="E29" s="45"/>
      <c r="F29" s="31">
        <v>5.1666999999999996</v>
      </c>
      <c r="G29" s="45"/>
      <c r="H29" s="31">
        <v>0.86309999999999998</v>
      </c>
      <c r="I29" s="29">
        <v>1.239371639E-3</v>
      </c>
      <c r="J29" s="46"/>
      <c r="K29" s="29">
        <v>1.347453913E-3</v>
      </c>
      <c r="L29" s="46"/>
      <c r="M29" s="29">
        <v>1.048149154E-3</v>
      </c>
      <c r="N29" s="36">
        <v>7.1677749999999999E-4</v>
      </c>
      <c r="O29" s="56"/>
      <c r="P29" s="36">
        <v>7.1814600000000002E-4</v>
      </c>
      <c r="Q29" s="56"/>
      <c r="R29" s="36">
        <v>7.1540899999999997E-4</v>
      </c>
      <c r="S29" s="27">
        <v>4.4617378999999999E-2</v>
      </c>
      <c r="T29" s="47"/>
      <c r="U29" s="27">
        <v>3.0991439999999999E-2</v>
      </c>
      <c r="V29" s="47"/>
      <c r="W29" s="27">
        <v>1.3625939E-2</v>
      </c>
      <c r="X29" s="25">
        <f t="shared" si="0"/>
        <v>0.1274949513739419</v>
      </c>
      <c r="Y29" s="52"/>
      <c r="Z29" s="25">
        <f t="shared" si="2"/>
        <v>0.15727714759362157</v>
      </c>
      <c r="AA29" s="52"/>
      <c r="AB29" s="25">
        <f t="shared" si="4"/>
        <v>5.9757003390288763E-2</v>
      </c>
    </row>
    <row r="30" spans="1:28" x14ac:dyDescent="0.15">
      <c r="A30" s="19" t="s">
        <v>208</v>
      </c>
      <c r="B30" s="19">
        <v>133</v>
      </c>
      <c r="C30" s="19" t="s">
        <v>164</v>
      </c>
      <c r="D30" s="31">
        <v>8.2179500000000001</v>
      </c>
      <c r="E30" s="45"/>
      <c r="F30" s="31">
        <v>7.0998799999999997</v>
      </c>
      <c r="G30" s="45"/>
      <c r="H30" s="31">
        <v>1.1180699999999999</v>
      </c>
      <c r="I30" s="29">
        <v>1.8860735290000001E-3</v>
      </c>
      <c r="J30" s="46"/>
      <c r="K30" s="29">
        <v>1.8518095240000001E-3</v>
      </c>
      <c r="L30" s="46"/>
      <c r="M30" s="29">
        <v>1.941423077E-3</v>
      </c>
      <c r="N30" s="36">
        <v>1.3194999999999999E-3</v>
      </c>
      <c r="O30" s="56"/>
      <c r="P30" s="36">
        <v>1.3680000000000001E-3</v>
      </c>
      <c r="Q30" s="56"/>
      <c r="R30" s="36">
        <v>8.2300000000000006E-4</v>
      </c>
      <c r="S30" s="27">
        <v>6.4126500000000003E-2</v>
      </c>
      <c r="T30" s="47"/>
      <c r="U30" s="27">
        <v>3.8887999999999999E-2</v>
      </c>
      <c r="V30" s="47"/>
      <c r="W30" s="27">
        <v>2.5238500000000001E-2</v>
      </c>
      <c r="X30" s="25">
        <f t="shared" si="0"/>
        <v>0.12089827167969441</v>
      </c>
      <c r="Y30" s="52"/>
      <c r="Z30" s="25">
        <f t="shared" si="2"/>
        <v>0.17223822258794486</v>
      </c>
      <c r="AA30" s="52"/>
      <c r="AB30" s="25">
        <f t="shared" si="4"/>
        <v>4.1792619167855635E-2</v>
      </c>
    </row>
    <row r="31" spans="1:28" x14ac:dyDescent="0.15">
      <c r="A31" s="19" t="s">
        <v>905</v>
      </c>
      <c r="B31" s="19">
        <v>3.4540000000000002</v>
      </c>
      <c r="C31" s="19" t="s">
        <v>209</v>
      </c>
      <c r="D31" s="31">
        <v>0.29238000000000003</v>
      </c>
      <c r="E31" s="45"/>
      <c r="F31" s="31">
        <v>0.25318000000000002</v>
      </c>
      <c r="G31" s="45"/>
      <c r="H31" s="31">
        <v>3.9199999999999999E-2</v>
      </c>
      <c r="I31" s="29">
        <v>2.407508086E-4</v>
      </c>
      <c r="J31" s="46"/>
      <c r="K31" s="29">
        <v>2.7527556149999999E-4</v>
      </c>
      <c r="L31" s="46"/>
      <c r="M31" s="29">
        <v>1.9389578679999999E-4</v>
      </c>
      <c r="N31" s="36">
        <v>1.8047579982999998E-4</v>
      </c>
      <c r="O31" s="56"/>
      <c r="P31" s="36">
        <v>2.6768867924E-4</v>
      </c>
      <c r="Q31" s="56"/>
      <c r="R31" s="36">
        <v>9.282273621E-5</v>
      </c>
      <c r="S31" s="27">
        <v>7.9447766830000009E-3</v>
      </c>
      <c r="T31" s="47"/>
      <c r="U31" s="27">
        <v>5.2302356680000005E-3</v>
      </c>
      <c r="V31" s="47"/>
      <c r="W31" s="27">
        <v>2.7145410149999999E-3</v>
      </c>
      <c r="X31" s="25">
        <f t="shared" si="0"/>
        <v>3.4718431956616051E-2</v>
      </c>
      <c r="Y31" s="52"/>
      <c r="Z31" s="25">
        <f t="shared" si="2"/>
        <v>4.5666977888800857E-2</v>
      </c>
      <c r="AA31" s="52"/>
      <c r="AB31" s="25">
        <f t="shared" si="4"/>
        <v>1.3623346219902924E-2</v>
      </c>
    </row>
    <row r="32" spans="1:28" x14ac:dyDescent="0.15">
      <c r="A32" s="19" t="s">
        <v>215</v>
      </c>
      <c r="B32" s="19">
        <v>75.337000000000003</v>
      </c>
      <c r="C32" s="19" t="s">
        <v>256</v>
      </c>
      <c r="D32" s="31">
        <v>7.5145800069999993</v>
      </c>
      <c r="E32" s="45"/>
      <c r="F32" s="31">
        <v>5.8846131479999997</v>
      </c>
      <c r="G32" s="45"/>
      <c r="H32" s="43">
        <v>1.629966859</v>
      </c>
      <c r="I32" s="30">
        <v>2.5789044683870968E-3</v>
      </c>
      <c r="J32" s="48"/>
      <c r="K32" s="30">
        <v>2.6800573800000002E-3</v>
      </c>
      <c r="L32" s="48"/>
      <c r="M32" s="30">
        <v>2.4187456919999998E-3</v>
      </c>
      <c r="N32" s="37">
        <v>1.4642330894000001E-3</v>
      </c>
      <c r="O32" s="56"/>
      <c r="P32" s="37">
        <v>1.422671466E-3</v>
      </c>
      <c r="Q32" s="56"/>
      <c r="R32" s="37">
        <v>1.6325830799999998E-3</v>
      </c>
      <c r="S32" s="28">
        <v>7.9946038519999998E-2</v>
      </c>
      <c r="T32" s="49"/>
      <c r="U32" s="28">
        <v>5.092109022E-2</v>
      </c>
      <c r="V32" s="49"/>
      <c r="W32" s="28">
        <v>2.9024948299999999E-2</v>
      </c>
      <c r="X32" s="25">
        <f t="shared" si="0"/>
        <v>8.8675143295869618E-2</v>
      </c>
      <c r="Y32" s="52"/>
      <c r="Z32" s="25">
        <f t="shared" si="2"/>
        <v>0.10902205380424883</v>
      </c>
      <c r="AA32" s="52"/>
      <c r="AB32" s="25">
        <f t="shared" si="4"/>
        <v>5.2978719137365841E-2</v>
      </c>
    </row>
    <row r="33" spans="1:28" x14ac:dyDescent="0.15">
      <c r="A33" s="19" t="s">
        <v>812</v>
      </c>
      <c r="B33" s="19">
        <v>54.7</v>
      </c>
      <c r="C33" s="19" t="s">
        <v>811</v>
      </c>
      <c r="D33" s="31">
        <v>2.0874999999999999</v>
      </c>
      <c r="E33" s="45"/>
      <c r="F33" s="31">
        <v>1.7196</v>
      </c>
      <c r="G33" s="45"/>
      <c r="H33" s="43">
        <v>0.3679</v>
      </c>
      <c r="I33" s="30">
        <v>8.1823021619999994E-4</v>
      </c>
      <c r="J33" s="48"/>
      <c r="K33" s="30">
        <v>8.8795912270000002E-4</v>
      </c>
      <c r="L33" s="48"/>
      <c r="M33" s="30">
        <v>6.6715091870000001E-4</v>
      </c>
      <c r="N33" s="37">
        <v>5.1217715681999996E-4</v>
      </c>
      <c r="O33" s="56"/>
      <c r="P33" s="37">
        <v>5.8464521607999999E-4</v>
      </c>
      <c r="Q33" s="56"/>
      <c r="R33" s="37">
        <v>4.7786287914999999E-4</v>
      </c>
      <c r="S33" s="28">
        <v>3.1092748210000003E-2</v>
      </c>
      <c r="T33" s="49"/>
      <c r="U33" s="28">
        <v>2.308693719E-2</v>
      </c>
      <c r="V33" s="49"/>
      <c r="W33" s="28">
        <v>8.0058110239999997E-3</v>
      </c>
      <c r="X33" s="25">
        <f t="shared" si="0"/>
        <v>6.3337586286699915E-2</v>
      </c>
      <c r="Y33" s="52"/>
      <c r="Z33" s="25">
        <f t="shared" si="2"/>
        <v>7.0267620931808675E-2</v>
      </c>
      <c r="AA33" s="52"/>
      <c r="AB33" s="25">
        <f t="shared" si="4"/>
        <v>4.3352943337988191E-2</v>
      </c>
    </row>
    <row r="34" spans="1:28" x14ac:dyDescent="0.15">
      <c r="A34" s="19" t="s">
        <v>258</v>
      </c>
      <c r="B34" s="19">
        <v>91</v>
      </c>
      <c r="C34" s="19" t="s">
        <v>296</v>
      </c>
      <c r="D34" s="31">
        <v>7.0280000000000005</v>
      </c>
      <c r="E34" s="45"/>
      <c r="F34" s="31">
        <v>6.048</v>
      </c>
      <c r="G34" s="45"/>
      <c r="H34" s="43">
        <v>0.98</v>
      </c>
      <c r="I34" s="30">
        <v>2.3142600389999997E-3</v>
      </c>
      <c r="J34" s="48"/>
      <c r="K34" s="30">
        <v>2.2012513569999999E-3</v>
      </c>
      <c r="L34" s="48"/>
      <c r="M34" s="30">
        <v>2.5228914530000001E-3</v>
      </c>
      <c r="N34" s="37">
        <v>1.535112791E-3</v>
      </c>
      <c r="O34" s="56"/>
      <c r="P34" s="37">
        <v>1.6467570207000001E-3</v>
      </c>
      <c r="Q34" s="56"/>
      <c r="R34" s="37">
        <v>1.0574733259000001E-3</v>
      </c>
      <c r="S34" s="28">
        <v>8.562762145000001E-2</v>
      </c>
      <c r="T34" s="49"/>
      <c r="U34" s="28">
        <v>5.2830032559999997E-2</v>
      </c>
      <c r="V34" s="49"/>
      <c r="W34" s="28">
        <v>3.2797588879999999E-2</v>
      </c>
      <c r="X34" s="25">
        <f t="shared" si="0"/>
        <v>7.7430489916350265E-2</v>
      </c>
      <c r="Y34" s="52"/>
      <c r="Z34" s="25">
        <f t="shared" si="2"/>
        <v>0.10800031915328599</v>
      </c>
      <c r="AA34" s="52"/>
      <c r="AB34" s="25">
        <f t="shared" si="4"/>
        <v>2.818891063210353E-2</v>
      </c>
    </row>
    <row r="35" spans="1:28" x14ac:dyDescent="0.15">
      <c r="A35" s="19" t="s">
        <v>297</v>
      </c>
      <c r="B35" s="19">
        <v>2160</v>
      </c>
      <c r="C35" s="19" t="s">
        <v>298</v>
      </c>
      <c r="D35" s="31">
        <v>83.637180000000001</v>
      </c>
      <c r="E35" s="45"/>
      <c r="F35" s="31">
        <v>79.652640000000005</v>
      </c>
      <c r="G35" s="45"/>
      <c r="H35" s="43">
        <v>3.98454</v>
      </c>
      <c r="I35" s="30">
        <v>1.119160257E-2</v>
      </c>
      <c r="J35" s="48"/>
      <c r="K35" s="30">
        <v>1.133607279E-2</v>
      </c>
      <c r="L35" s="48"/>
      <c r="M35" s="30">
        <v>1.0710035200000001E-2</v>
      </c>
      <c r="N35" s="37">
        <v>1.0107731763E-2</v>
      </c>
      <c r="O35" s="56"/>
      <c r="P35" s="37">
        <v>1.0290795521E-2</v>
      </c>
      <c r="Q35" s="56"/>
      <c r="R35" s="37">
        <v>6.3606097026000005E-3</v>
      </c>
      <c r="S35" s="28">
        <v>0.29098166689999999</v>
      </c>
      <c r="T35" s="49"/>
      <c r="U35" s="28">
        <v>0.22672145569999999</v>
      </c>
      <c r="V35" s="49"/>
      <c r="W35" s="28">
        <v>6.4260211169999998E-2</v>
      </c>
      <c r="X35" s="25">
        <f t="shared" si="0"/>
        <v>0.27116141315911885</v>
      </c>
      <c r="Y35" s="52"/>
      <c r="Z35" s="25">
        <f t="shared" si="2"/>
        <v>0.33143753319681957</v>
      </c>
      <c r="AA35" s="52"/>
      <c r="AB35" s="25">
        <f t="shared" si="4"/>
        <v>5.8496539795918012E-2</v>
      </c>
    </row>
    <row r="36" spans="1:28" x14ac:dyDescent="0.15">
      <c r="A36" s="19" t="s">
        <v>335</v>
      </c>
      <c r="B36" s="19">
        <v>2065</v>
      </c>
      <c r="C36" s="19" t="s">
        <v>298</v>
      </c>
      <c r="D36" s="31">
        <v>86.254320000000007</v>
      </c>
      <c r="E36" s="45"/>
      <c r="F36" s="31">
        <v>79.915520000000001</v>
      </c>
      <c r="G36" s="45"/>
      <c r="H36" s="31">
        <v>6.3388</v>
      </c>
      <c r="I36" s="29">
        <v>1.437009421E-2</v>
      </c>
      <c r="J36" s="46"/>
      <c r="K36" s="29">
        <v>1.7658750210000001E-2</v>
      </c>
      <c r="L36" s="46"/>
      <c r="M36" s="29">
        <v>8.0917509330000002E-3</v>
      </c>
      <c r="N36" s="36">
        <v>8.9500355890000001E-3</v>
      </c>
      <c r="O36" s="56"/>
      <c r="P36" s="36">
        <v>1.4639515213999999E-2</v>
      </c>
      <c r="Q36" s="56"/>
      <c r="R36" s="36">
        <v>6.6267829105999994E-3</v>
      </c>
      <c r="S36" s="27">
        <v>0.4598430147</v>
      </c>
      <c r="T36" s="47"/>
      <c r="U36" s="27">
        <v>0.3708337545</v>
      </c>
      <c r="V36" s="47"/>
      <c r="W36" s="27">
        <v>8.900926026E-2</v>
      </c>
      <c r="X36" s="25">
        <f t="shared" si="0"/>
        <v>0.17695604238565377</v>
      </c>
      <c r="Y36" s="52"/>
      <c r="Z36" s="25">
        <f t="shared" si="2"/>
        <v>0.20330403876435688</v>
      </c>
      <c r="AA36" s="52"/>
      <c r="AB36" s="25">
        <f t="shared" si="4"/>
        <v>6.7184020882008838E-2</v>
      </c>
    </row>
    <row r="37" spans="1:28" x14ac:dyDescent="0.15">
      <c r="A37" s="19" t="s">
        <v>340</v>
      </c>
      <c r="B37" s="19">
        <v>0.32300000000000001</v>
      </c>
      <c r="C37" s="19" t="s">
        <v>357</v>
      </c>
      <c r="D37" s="31">
        <v>2.1720720999999998E-2</v>
      </c>
      <c r="E37" s="45"/>
      <c r="F37" s="31">
        <v>1.6886406999999999E-2</v>
      </c>
      <c r="G37" s="45"/>
      <c r="H37" s="31">
        <v>4.8343140000000001E-3</v>
      </c>
      <c r="I37" s="29">
        <v>3.1070365100000002E-5</v>
      </c>
      <c r="J37" s="46"/>
      <c r="K37" s="29">
        <v>3.5600755699999998E-5</v>
      </c>
      <c r="L37" s="46"/>
      <c r="M37" s="29">
        <v>2.4652311900000002E-5</v>
      </c>
      <c r="N37" s="36">
        <v>2.3087605050000002E-5</v>
      </c>
      <c r="O37" s="56"/>
      <c r="P37" s="36">
        <v>2.6487571500000002E-5</v>
      </c>
      <c r="Q37" s="56"/>
      <c r="R37" s="36">
        <v>1.908103955E-5</v>
      </c>
      <c r="S37" s="27">
        <v>9.0104058889999992E-4</v>
      </c>
      <c r="T37" s="47"/>
      <c r="U37" s="27">
        <v>6.052128461E-4</v>
      </c>
      <c r="V37" s="47"/>
      <c r="W37" s="27">
        <v>2.9582774280000003E-4</v>
      </c>
      <c r="X37" s="25">
        <f t="shared" si="0"/>
        <v>2.2741757118212649E-2</v>
      </c>
      <c r="Y37" s="52"/>
      <c r="Z37" s="25">
        <f t="shared" si="2"/>
        <v>2.6322264545715224E-2</v>
      </c>
      <c r="AA37" s="52"/>
      <c r="AB37" s="25">
        <f t="shared" si="4"/>
        <v>1.5416652751155223E-2</v>
      </c>
    </row>
    <row r="38" spans="1:28" x14ac:dyDescent="0.15">
      <c r="A38" s="19" t="s">
        <v>367</v>
      </c>
      <c r="B38" s="19">
        <v>1.7589999999999999</v>
      </c>
      <c r="C38" s="19" t="s">
        <v>364</v>
      </c>
      <c r="D38" s="31">
        <v>5.8005899999999999E-2</v>
      </c>
      <c r="E38" s="45"/>
      <c r="F38" s="31">
        <v>4.6391399999999999E-2</v>
      </c>
      <c r="G38" s="45"/>
      <c r="H38" s="31">
        <v>1.16145E-2</v>
      </c>
      <c r="I38" s="29">
        <v>4.0741118200000001E-5</v>
      </c>
      <c r="J38" s="46"/>
      <c r="K38" s="29">
        <v>4.7446732600000005E-5</v>
      </c>
      <c r="L38" s="46"/>
      <c r="M38" s="29">
        <v>2.9565094100000001E-5</v>
      </c>
      <c r="N38" s="36">
        <v>3.1520221910000002E-5</v>
      </c>
      <c r="O38" s="56"/>
      <c r="P38" s="36">
        <v>3.7690283099999999E-5</v>
      </c>
      <c r="Q38" s="56"/>
      <c r="R38" s="36">
        <v>1.82598209E-5</v>
      </c>
      <c r="S38" s="27">
        <v>1.6296447270000001E-3</v>
      </c>
      <c r="T38" s="47"/>
      <c r="U38" s="27">
        <v>1.1861683149999999E-3</v>
      </c>
      <c r="V38" s="47"/>
      <c r="W38" s="27">
        <v>4.4347641209999995E-4</v>
      </c>
      <c r="X38" s="25">
        <f t="shared" si="0"/>
        <v>3.3579433764406807E-2</v>
      </c>
      <c r="Y38" s="52"/>
      <c r="Z38" s="25">
        <f t="shared" si="2"/>
        <v>3.6896510507543959E-2</v>
      </c>
      <c r="AA38" s="52"/>
      <c r="AB38" s="25">
        <f t="shared" si="4"/>
        <v>2.4707233964965401E-2</v>
      </c>
    </row>
    <row r="39" spans="1:28" x14ac:dyDescent="0.15">
      <c r="A39" s="19" t="s">
        <v>912</v>
      </c>
      <c r="B39" s="19">
        <v>33.1</v>
      </c>
      <c r="C39" s="19" t="s">
        <v>810</v>
      </c>
      <c r="D39" s="31">
        <v>3.02921</v>
      </c>
      <c r="E39" s="45"/>
      <c r="F39" s="31">
        <v>2.6846999999999999</v>
      </c>
      <c r="G39" s="45"/>
      <c r="H39" s="31">
        <v>0.34450999999999998</v>
      </c>
    </row>
    <row r="40" spans="1:28" x14ac:dyDescent="0.15">
      <c r="A40" s="19" t="s">
        <v>797</v>
      </c>
      <c r="B40" s="19">
        <v>64</v>
      </c>
      <c r="C40" s="19" t="s">
        <v>798</v>
      </c>
      <c r="D40" s="31">
        <v>4.5152999999999999</v>
      </c>
      <c r="E40" s="45"/>
      <c r="F40" s="31">
        <v>3.4845000000000002</v>
      </c>
      <c r="G40" s="45"/>
      <c r="H40" s="31">
        <v>1.0307999999999999</v>
      </c>
    </row>
    <row r="41" spans="1:28" x14ac:dyDescent="0.15">
      <c r="A41" s="19" t="s">
        <v>821</v>
      </c>
      <c r="B41" s="19">
        <v>172</v>
      </c>
      <c r="C41" s="19" t="s">
        <v>820</v>
      </c>
      <c r="D41" s="31">
        <v>15.845399999999998</v>
      </c>
      <c r="E41" s="45"/>
      <c r="F41" s="31">
        <v>13.277299999999999</v>
      </c>
      <c r="G41" s="45"/>
      <c r="H41" s="31">
        <v>2.5680999999999994</v>
      </c>
    </row>
    <row r="42" spans="1:28" x14ac:dyDescent="0.15">
      <c r="A42" s="19" t="s">
        <v>822</v>
      </c>
      <c r="B42" s="19">
        <v>126</v>
      </c>
      <c r="C42" s="19" t="s">
        <v>820</v>
      </c>
      <c r="D42" s="31">
        <v>8.3209000000000017</v>
      </c>
      <c r="E42" s="45"/>
      <c r="F42" s="31">
        <v>7.0888</v>
      </c>
      <c r="G42" s="45"/>
      <c r="H42" s="31">
        <v>1.2321000000000017</v>
      </c>
    </row>
    <row r="43" spans="1:28" x14ac:dyDescent="0.15">
      <c r="A43" s="19" t="s">
        <v>904</v>
      </c>
      <c r="B43" s="19">
        <v>6.8</v>
      </c>
      <c r="C43" s="19" t="s">
        <v>880</v>
      </c>
      <c r="D43" s="31">
        <v>0.57389999999999997</v>
      </c>
      <c r="E43" s="45"/>
      <c r="F43" s="31">
        <v>0.4985</v>
      </c>
      <c r="G43" s="45"/>
      <c r="H43" s="31">
        <v>7.5399999999999995E-2</v>
      </c>
    </row>
    <row r="44" spans="1:28" x14ac:dyDescent="0.15">
      <c r="A44" s="19" t="s">
        <v>788</v>
      </c>
      <c r="B44" s="19">
        <v>1.86</v>
      </c>
      <c r="C44" s="19" t="s">
        <v>799</v>
      </c>
      <c r="D44" s="31">
        <v>0.18509999999999999</v>
      </c>
      <c r="E44" s="45"/>
      <c r="F44" s="45"/>
      <c r="G44" s="45"/>
      <c r="H44" s="45"/>
    </row>
    <row r="45" spans="1:28" x14ac:dyDescent="0.15">
      <c r="A45" s="19" t="s">
        <v>789</v>
      </c>
      <c r="B45" s="19">
        <v>0.13200000000000001</v>
      </c>
      <c r="C45" s="19" t="s">
        <v>800</v>
      </c>
      <c r="D45" s="31">
        <v>9.4000000000000004E-3</v>
      </c>
      <c r="E45" s="45"/>
      <c r="F45" s="45"/>
      <c r="G45" s="45"/>
      <c r="H45" s="45"/>
    </row>
    <row r="46" spans="1:28" x14ac:dyDescent="0.15">
      <c r="A46" s="19" t="s">
        <v>790</v>
      </c>
      <c r="B46" s="19">
        <v>7</v>
      </c>
      <c r="C46" s="19" t="s">
        <v>903</v>
      </c>
      <c r="D46" s="31">
        <v>0.61899999999999999</v>
      </c>
      <c r="E46" s="45"/>
      <c r="F46" s="45"/>
      <c r="G46" s="45"/>
      <c r="H46" s="45"/>
    </row>
    <row r="47" spans="1:28" x14ac:dyDescent="0.15">
      <c r="A47" s="19" t="s">
        <v>791</v>
      </c>
      <c r="B47" s="19">
        <v>14.5</v>
      </c>
      <c r="C47" s="19" t="s">
        <v>801</v>
      </c>
      <c r="D47" s="31">
        <v>1.4552</v>
      </c>
      <c r="E47" s="45"/>
      <c r="F47" s="45"/>
      <c r="G47" s="45"/>
      <c r="H47" s="45"/>
    </row>
    <row r="48" spans="1:28" x14ac:dyDescent="0.15">
      <c r="A48" s="19" t="s">
        <v>792</v>
      </c>
      <c r="B48" s="19">
        <v>9.4</v>
      </c>
      <c r="C48" s="19" t="s">
        <v>802</v>
      </c>
      <c r="D48" s="31">
        <v>0.84589999999999999</v>
      </c>
      <c r="E48" s="45"/>
      <c r="F48" s="45"/>
      <c r="G48" s="45"/>
      <c r="H48" s="45"/>
    </row>
    <row r="49" spans="1:8" x14ac:dyDescent="0.15">
      <c r="A49" s="19" t="s">
        <v>913</v>
      </c>
      <c r="B49" s="19">
        <v>25.26</v>
      </c>
      <c r="C49" s="19" t="s">
        <v>803</v>
      </c>
      <c r="D49" s="31">
        <v>2.1886999999999999</v>
      </c>
      <c r="E49" s="45"/>
      <c r="F49" s="45"/>
      <c r="G49" s="45"/>
      <c r="H49" s="45"/>
    </row>
    <row r="50" spans="1:8" x14ac:dyDescent="0.15">
      <c r="A50" s="19" t="s">
        <v>793</v>
      </c>
      <c r="B50" s="19">
        <v>0.21</v>
      </c>
      <c r="C50" s="19" t="s">
        <v>804</v>
      </c>
      <c r="D50" s="31">
        <v>2.0799999999999999E-2</v>
      </c>
      <c r="E50" s="45"/>
      <c r="F50" s="45"/>
      <c r="G50" s="45"/>
      <c r="H50" s="45"/>
    </row>
    <row r="51" spans="1:8" x14ac:dyDescent="0.15">
      <c r="A51" s="19" t="s">
        <v>794</v>
      </c>
      <c r="B51" s="19">
        <v>0.8</v>
      </c>
      <c r="C51" s="19" t="s">
        <v>805</v>
      </c>
      <c r="D51" s="31">
        <v>0.06</v>
      </c>
      <c r="E51" s="45"/>
      <c r="F51" s="45"/>
      <c r="G51" s="45"/>
      <c r="H51" s="45"/>
    </row>
    <row r="52" spans="1:8" x14ac:dyDescent="0.15">
      <c r="A52" s="19" t="s">
        <v>795</v>
      </c>
      <c r="B52" s="19">
        <v>0.76</v>
      </c>
      <c r="C52" s="19" t="s">
        <v>806</v>
      </c>
      <c r="D52" s="31">
        <v>2.5999999999999999E-2</v>
      </c>
      <c r="E52" s="45"/>
      <c r="F52" s="45"/>
      <c r="G52" s="45"/>
      <c r="H52" s="45"/>
    </row>
    <row r="53" spans="1:8" x14ac:dyDescent="0.15">
      <c r="A53" s="19" t="s">
        <v>796</v>
      </c>
      <c r="B53" s="19">
        <v>1.675</v>
      </c>
      <c r="C53" s="19" t="s">
        <v>807</v>
      </c>
      <c r="D53" s="31">
        <v>9.2799999999999994E-2</v>
      </c>
      <c r="E53" s="45"/>
      <c r="F53" s="45"/>
      <c r="G53" s="45"/>
      <c r="H53" s="45"/>
    </row>
  </sheetData>
  <mergeCells count="5">
    <mergeCell ref="D1:H1"/>
    <mergeCell ref="I1:M1"/>
    <mergeCell ref="S1:W1"/>
    <mergeCell ref="X1:AB1"/>
    <mergeCell ref="N1:R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7"/>
  <sheetViews>
    <sheetView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baseColWidth="10" defaultColWidth="9.1640625" defaultRowHeight="14" x14ac:dyDescent="0.15"/>
  <cols>
    <col min="1" max="1" width="26.5" style="19" bestFit="1" customWidth="1"/>
    <col min="2" max="2" width="14.6640625" style="19" customWidth="1"/>
    <col min="3" max="3" width="31.83203125" style="19" bestFit="1" customWidth="1"/>
    <col min="4" max="6" width="10.1640625" style="31" customWidth="1"/>
    <col min="7" max="7" width="10.1640625" style="29" customWidth="1"/>
    <col min="8" max="9" width="10" style="29" customWidth="1"/>
    <col min="10" max="12" width="10" style="36" customWidth="1"/>
    <col min="13" max="15" width="10" style="27" customWidth="1"/>
    <col min="16" max="16" width="9" style="25" customWidth="1"/>
    <col min="17" max="18" width="9.1640625" style="25"/>
    <col min="19" max="16384" width="9.1640625" style="19"/>
  </cols>
  <sheetData>
    <row r="1" spans="1:18" ht="15" x14ac:dyDescent="0.15">
      <c r="D1" s="62" t="s">
        <v>787</v>
      </c>
      <c r="E1" s="62"/>
      <c r="F1" s="62"/>
      <c r="G1" s="63" t="s">
        <v>739</v>
      </c>
      <c r="H1" s="63"/>
      <c r="I1" s="63"/>
      <c r="J1" s="66" t="s">
        <v>879</v>
      </c>
      <c r="K1" s="66"/>
      <c r="L1" s="66"/>
      <c r="M1" s="64" t="s">
        <v>763</v>
      </c>
      <c r="N1" s="64"/>
      <c r="O1" s="64"/>
      <c r="P1" s="65" t="s">
        <v>918</v>
      </c>
      <c r="Q1" s="65"/>
      <c r="R1" s="65"/>
    </row>
    <row r="2" spans="1:18" x14ac:dyDescent="0.15">
      <c r="A2" s="20" t="s">
        <v>0</v>
      </c>
      <c r="B2" s="20" t="s">
        <v>69</v>
      </c>
      <c r="C2" s="20" t="s">
        <v>57</v>
      </c>
      <c r="D2" s="18" t="s">
        <v>740</v>
      </c>
      <c r="E2" s="18" t="s">
        <v>736</v>
      </c>
      <c r="F2" s="18" t="s">
        <v>738</v>
      </c>
      <c r="G2" s="16" t="s">
        <v>740</v>
      </c>
      <c r="H2" s="16" t="s">
        <v>736</v>
      </c>
      <c r="I2" s="16" t="s">
        <v>738</v>
      </c>
      <c r="J2" s="54" t="s">
        <v>740</v>
      </c>
      <c r="K2" s="54" t="s">
        <v>736</v>
      </c>
      <c r="L2" s="54" t="s">
        <v>738</v>
      </c>
      <c r="M2" s="17" t="s">
        <v>740</v>
      </c>
      <c r="N2" s="17" t="s">
        <v>736</v>
      </c>
      <c r="O2" s="17" t="s">
        <v>738</v>
      </c>
      <c r="P2" s="51" t="s">
        <v>841</v>
      </c>
      <c r="Q2" s="51" t="s">
        <v>736</v>
      </c>
      <c r="R2" s="51" t="s">
        <v>738</v>
      </c>
    </row>
    <row r="3" spans="1:18" x14ac:dyDescent="0.15">
      <c r="A3" s="19" t="s">
        <v>66</v>
      </c>
      <c r="B3" s="19">
        <v>57.7</v>
      </c>
      <c r="C3" s="19" t="s">
        <v>60</v>
      </c>
      <c r="D3" s="31">
        <v>1.1484700000000001</v>
      </c>
      <c r="E3" s="31">
        <v>0.99994000000000005</v>
      </c>
      <c r="F3" s="31">
        <v>0.14853000000000005</v>
      </c>
      <c r="G3" s="29">
        <v>6.0845234829999995E-4</v>
      </c>
      <c r="H3" s="29">
        <v>7.0220737879999999E-4</v>
      </c>
      <c r="I3" s="29">
        <v>4.72081395E-4</v>
      </c>
      <c r="J3" s="36">
        <v>4.2325344210000006E-4</v>
      </c>
      <c r="K3" s="36">
        <v>4.8604754740000003E-4</v>
      </c>
      <c r="L3" s="36">
        <v>2.8349846620000002E-4</v>
      </c>
      <c r="M3" s="27">
        <v>1.6428213400000002E-2</v>
      </c>
      <c r="N3" s="27">
        <v>1.1235318060000001E-2</v>
      </c>
      <c r="O3" s="27">
        <v>5.1928953450000002E-3</v>
      </c>
      <c r="P3" s="25">
        <f>D3/(1060*M3)</f>
        <v>6.5951314228176711E-2</v>
      </c>
      <c r="Q3" s="25">
        <f>E3/(1060*N3)</f>
        <v>8.39619864434447E-2</v>
      </c>
      <c r="R3" s="25">
        <f>F3/(1060*O3)</f>
        <v>2.6983528879385495E-2</v>
      </c>
    </row>
    <row r="4" spans="1:18" x14ac:dyDescent="0.15">
      <c r="A4" s="19" t="s">
        <v>65</v>
      </c>
      <c r="B4" s="19">
        <v>20.190000000000001</v>
      </c>
      <c r="C4" s="19" t="s">
        <v>60</v>
      </c>
      <c r="D4" s="31">
        <v>0.3584</v>
      </c>
      <c r="E4" s="31">
        <v>0.32729999999999998</v>
      </c>
      <c r="F4" s="31">
        <v>3.1100000000000017E-2</v>
      </c>
      <c r="G4" s="29">
        <v>2.849906701E-4</v>
      </c>
      <c r="H4" s="29">
        <v>3.3209877820000001E-4</v>
      </c>
      <c r="I4" s="29">
        <v>2.2075234090000002E-4</v>
      </c>
      <c r="J4" s="36">
        <v>1.9059117040000001E-4</v>
      </c>
      <c r="K4" s="36">
        <v>2.3060796639999998E-4</v>
      </c>
      <c r="L4" s="36">
        <v>1.314053644E-4</v>
      </c>
      <c r="M4" s="27">
        <v>7.4097574230000008E-3</v>
      </c>
      <c r="N4" s="27">
        <v>4.9814816740000002E-3</v>
      </c>
      <c r="O4" s="27">
        <v>2.4282757499999997E-3</v>
      </c>
      <c r="P4" s="25">
        <f t="shared" ref="P4:P30" si="0">D4/(1060*M4)</f>
        <v>4.5630806549437262E-2</v>
      </c>
      <c r="Q4" s="25">
        <f t="shared" ref="Q4:Q32" si="1">E4/(1060*N4)</f>
        <v>6.1984286024226849E-2</v>
      </c>
      <c r="R4" s="25">
        <f t="shared" ref="R4:R30" si="2">F4/(1060*O4)</f>
        <v>1.2082492131097322E-2</v>
      </c>
    </row>
    <row r="5" spans="1:18" x14ac:dyDescent="0.15">
      <c r="A5" s="19" t="s">
        <v>914</v>
      </c>
      <c r="B5" s="19">
        <v>27.7</v>
      </c>
      <c r="C5" s="19" t="s">
        <v>60</v>
      </c>
      <c r="D5" s="31">
        <v>0.53622000000000003</v>
      </c>
      <c r="E5" s="31">
        <v>0.47574</v>
      </c>
      <c r="F5" s="31">
        <v>6.0480000000000034E-2</v>
      </c>
      <c r="G5" s="29">
        <v>2.7730709970000001E-4</v>
      </c>
      <c r="H5" s="29">
        <v>3.1567625719999999E-4</v>
      </c>
      <c r="I5" s="29">
        <v>2.2149741610000002E-4</v>
      </c>
      <c r="J5" s="36">
        <v>1.506441514E-4</v>
      </c>
      <c r="K5" s="36">
        <v>2.2156801840000001E-4</v>
      </c>
      <c r="L5" s="36">
        <v>1.3870483490000001E-4</v>
      </c>
      <c r="M5" s="27">
        <v>7.4872916919999991E-3</v>
      </c>
      <c r="N5" s="27">
        <v>5.0508201139999997E-3</v>
      </c>
      <c r="O5" s="27">
        <v>2.4364715769999998E-3</v>
      </c>
      <c r="P5" s="25">
        <f t="shared" si="0"/>
        <v>6.756353903893049E-2</v>
      </c>
      <c r="Q5" s="25">
        <f t="shared" si="1"/>
        <v>8.885909825033951E-2</v>
      </c>
      <c r="R5" s="25">
        <f t="shared" si="2"/>
        <v>2.3417717781808928E-2</v>
      </c>
    </row>
    <row r="6" spans="1:18" x14ac:dyDescent="0.15">
      <c r="A6" s="19" t="s">
        <v>64</v>
      </c>
      <c r="B6" s="19">
        <v>278</v>
      </c>
      <c r="C6" s="19" t="s">
        <v>60</v>
      </c>
      <c r="D6" s="43">
        <v>4.8677999999999999</v>
      </c>
      <c r="E6" s="43">
        <v>4.3918999999999997</v>
      </c>
      <c r="F6" s="43">
        <v>0.47590000000000021</v>
      </c>
      <c r="G6" s="29">
        <v>2.353281988E-3</v>
      </c>
      <c r="H6" s="29">
        <v>3.2198435109999997E-3</v>
      </c>
      <c r="I6" s="29">
        <v>9.6678355000000011E-4</v>
      </c>
      <c r="J6" s="36">
        <v>7.548363277E-4</v>
      </c>
      <c r="K6" s="36">
        <v>1.0005527369999999E-3</v>
      </c>
      <c r="L6" s="36">
        <v>4.6556760140000001E-4</v>
      </c>
      <c r="M6" s="27">
        <v>6.1185331680000003E-2</v>
      </c>
      <c r="N6" s="27">
        <v>5.1517496180000004E-2</v>
      </c>
      <c r="O6" s="27">
        <v>9.6679835500000002E-3</v>
      </c>
      <c r="P6" s="25">
        <f t="shared" si="0"/>
        <v>7.505498499151711E-2</v>
      </c>
      <c r="Q6" s="25">
        <f t="shared" si="1"/>
        <v>8.0425140855369337E-2</v>
      </c>
      <c r="R6" s="25">
        <f t="shared" si="2"/>
        <v>4.643804593057501E-2</v>
      </c>
    </row>
    <row r="7" spans="1:18" x14ac:dyDescent="0.15">
      <c r="A7" s="19" t="s">
        <v>68</v>
      </c>
      <c r="B7" s="19">
        <v>90</v>
      </c>
      <c r="C7" s="19" t="s">
        <v>60</v>
      </c>
      <c r="D7" s="43">
        <v>1.2317100000000001</v>
      </c>
      <c r="E7" s="43">
        <v>1.1190800000000001</v>
      </c>
      <c r="F7" s="43">
        <v>0.11263000000000001</v>
      </c>
      <c r="G7" s="29">
        <v>7.2018146109999995E-4</v>
      </c>
      <c r="H7" s="29">
        <v>9.0122889340000004E-4</v>
      </c>
      <c r="I7" s="29">
        <v>4.7329859880000002E-4</v>
      </c>
      <c r="J7" s="36">
        <v>4.3191405580000002E-4</v>
      </c>
      <c r="K7" s="36">
        <v>5.515354881E-4</v>
      </c>
      <c r="L7" s="36">
        <v>2.8480297260000001E-4</v>
      </c>
      <c r="M7" s="27">
        <v>1.872471799E-2</v>
      </c>
      <c r="N7" s="27">
        <v>1.35184334E-2</v>
      </c>
      <c r="O7" s="27">
        <v>5.2062845870000001E-3</v>
      </c>
      <c r="P7" s="25">
        <f t="shared" si="0"/>
        <v>6.2056505559031694E-2</v>
      </c>
      <c r="Q7" s="25">
        <f t="shared" si="1"/>
        <v>7.8096020287129114E-2</v>
      </c>
      <c r="R7" s="25">
        <f t="shared" si="2"/>
        <v>2.0408933704171343E-2</v>
      </c>
    </row>
    <row r="8" spans="1:18" x14ac:dyDescent="0.15">
      <c r="A8" s="19" t="s">
        <v>67</v>
      </c>
      <c r="B8" s="19">
        <v>10.199999999999999</v>
      </c>
      <c r="C8" s="19" t="s">
        <v>60</v>
      </c>
      <c r="D8" s="43">
        <v>0.20367506499999999</v>
      </c>
      <c r="E8" s="43">
        <v>0.17388999999999999</v>
      </c>
      <c r="F8" s="43">
        <v>2.9785064999999999E-2</v>
      </c>
      <c r="G8" s="29">
        <v>1.9797101189999999E-4</v>
      </c>
      <c r="H8" s="29">
        <v>2.2643312830000002E-4</v>
      </c>
      <c r="I8" s="29">
        <v>1.5657156990000001E-4</v>
      </c>
      <c r="J8" s="36">
        <v>1.7286798210000001E-4</v>
      </c>
      <c r="K8" s="36">
        <v>1.6861765440000001E-4</v>
      </c>
      <c r="L8" s="36">
        <v>1.7286798210000001E-4</v>
      </c>
      <c r="M8" s="27">
        <v>5.3452173219999998E-3</v>
      </c>
      <c r="N8" s="27">
        <v>3.6229300530000001E-3</v>
      </c>
      <c r="O8" s="27">
        <v>1.7222872689999999E-3</v>
      </c>
      <c r="P8" s="25">
        <f t="shared" si="0"/>
        <v>3.5947329390146179E-2</v>
      </c>
      <c r="Q8" s="25">
        <f t="shared" si="1"/>
        <v>4.5280247592823383E-2</v>
      </c>
      <c r="R8" s="25">
        <f t="shared" si="2"/>
        <v>1.6315000656564861E-2</v>
      </c>
    </row>
    <row r="9" spans="1:18" x14ac:dyDescent="0.15">
      <c r="A9" s="19" t="s">
        <v>74</v>
      </c>
      <c r="B9" s="19">
        <v>40</v>
      </c>
      <c r="C9" s="19" t="s">
        <v>401</v>
      </c>
      <c r="D9" s="43"/>
      <c r="E9" s="43"/>
      <c r="F9" s="43">
        <v>0.30224000000000001</v>
      </c>
      <c r="G9" s="30"/>
      <c r="H9" s="30"/>
      <c r="I9" s="30">
        <v>4.8296443629999999E-4</v>
      </c>
      <c r="J9" s="37"/>
      <c r="K9" s="37"/>
      <c r="L9" s="37">
        <v>4.63108419E-4</v>
      </c>
      <c r="M9" s="28"/>
      <c r="N9" s="28"/>
      <c r="O9" s="28">
        <v>3.3807510540000002E-3</v>
      </c>
      <c r="P9" s="24"/>
      <c r="Q9" s="24"/>
      <c r="R9" s="24">
        <f t="shared" si="2"/>
        <v>8.4339861444201469E-2</v>
      </c>
    </row>
    <row r="10" spans="1:18" x14ac:dyDescent="0.15">
      <c r="A10" s="19" t="s">
        <v>75</v>
      </c>
      <c r="B10" s="19">
        <v>4.1500000000000004</v>
      </c>
      <c r="C10" s="19" t="s">
        <v>401</v>
      </c>
      <c r="D10" s="43">
        <v>0.14204205</v>
      </c>
      <c r="E10" s="43">
        <v>0.112548</v>
      </c>
      <c r="F10" s="43">
        <v>2.9494050000000008E-2</v>
      </c>
      <c r="G10" s="30">
        <v>1.238236967E-4</v>
      </c>
      <c r="H10" s="30">
        <v>1.389301462E-4</v>
      </c>
      <c r="I10" s="30">
        <v>8.7136604999999995E-5</v>
      </c>
      <c r="J10" s="37">
        <v>1.09093327E-4</v>
      </c>
      <c r="K10" s="37">
        <v>1.2409690060000001E-4</v>
      </c>
      <c r="L10" s="37">
        <v>7.9227961499999999E-5</v>
      </c>
      <c r="M10" s="28">
        <v>2.9717687200000002E-3</v>
      </c>
      <c r="N10" s="28">
        <v>2.3618124850000003E-3</v>
      </c>
      <c r="O10" s="28">
        <v>6.0995623520000003E-4</v>
      </c>
      <c r="P10" s="24">
        <f t="shared" si="0"/>
        <v>4.5091642919730356E-2</v>
      </c>
      <c r="Q10" s="24">
        <f t="shared" si="1"/>
        <v>4.4955879929039336E-2</v>
      </c>
      <c r="R10" s="24">
        <f t="shared" si="2"/>
        <v>4.5617330991910683E-2</v>
      </c>
    </row>
    <row r="11" spans="1:18" x14ac:dyDescent="0.15">
      <c r="A11" s="19" t="s">
        <v>902</v>
      </c>
      <c r="B11" s="19">
        <v>2.0979999999999999</v>
      </c>
      <c r="C11" s="19" t="s">
        <v>401</v>
      </c>
      <c r="D11" s="43">
        <v>5.8416712000000003E-2</v>
      </c>
      <c r="E11" s="43">
        <v>4.5753184000000002E-2</v>
      </c>
      <c r="F11" s="43">
        <v>1.2663528E-2</v>
      </c>
      <c r="G11" s="30">
        <v>6.0910752999999998E-5</v>
      </c>
      <c r="H11" s="30">
        <v>6.9819503300000001E-5</v>
      </c>
      <c r="I11" s="30">
        <v>4.1820573799999996E-5</v>
      </c>
      <c r="J11" s="37">
        <v>5.5434136099999995E-5</v>
      </c>
      <c r="K11" s="37">
        <v>5.88897E-5</v>
      </c>
      <c r="L11" s="37">
        <v>4.1598800000000006E-5</v>
      </c>
      <c r="M11" s="28">
        <v>1.3400365669999999E-3</v>
      </c>
      <c r="N11" s="28">
        <v>1.04729255E-3</v>
      </c>
      <c r="O11" s="28">
        <v>2.9274401679999998E-4</v>
      </c>
      <c r="P11" s="24">
        <f t="shared" si="0"/>
        <v>4.1125822248085989E-2</v>
      </c>
      <c r="Q11" s="24">
        <f t="shared" si="1"/>
        <v>4.1214253965690367E-2</v>
      </c>
      <c r="R11" s="24">
        <f t="shared" si="2"/>
        <v>4.080945755575862E-2</v>
      </c>
    </row>
    <row r="12" spans="1:18" x14ac:dyDescent="0.15">
      <c r="A12" s="22" t="s">
        <v>363</v>
      </c>
      <c r="B12" s="22">
        <v>1.359</v>
      </c>
      <c r="C12" s="22" t="s">
        <v>364</v>
      </c>
      <c r="D12" s="43">
        <v>3.2639799999999997E-2</v>
      </c>
      <c r="E12" s="43">
        <v>2.5411599999999999E-2</v>
      </c>
      <c r="F12" s="43">
        <v>7.2281999999999997E-3</v>
      </c>
      <c r="G12" s="30">
        <v>4.7934677299999999E-5</v>
      </c>
      <c r="H12" s="30">
        <v>6.7422880199999996E-5</v>
      </c>
      <c r="I12" s="30">
        <v>2.7054459899999999E-5</v>
      </c>
      <c r="J12" s="37">
        <v>3.7619498299999997E-5</v>
      </c>
      <c r="K12" s="37">
        <v>4.3837450699999999E-5</v>
      </c>
      <c r="L12" s="37">
        <v>2.2543080400000003E-5</v>
      </c>
      <c r="M12" s="28">
        <v>1.3901005641E-3</v>
      </c>
      <c r="N12" s="28">
        <v>1.0113432030000001E-3</v>
      </c>
      <c r="O12" s="28">
        <v>3.7876243820000004E-4</v>
      </c>
      <c r="P12" s="24">
        <f t="shared" si="0"/>
        <v>2.2151105428030227E-2</v>
      </c>
      <c r="Q12" s="25">
        <f t="shared" si="1"/>
        <v>2.3704324581464369E-2</v>
      </c>
      <c r="R12" s="25">
        <f t="shared" si="2"/>
        <v>1.8003518607019001E-2</v>
      </c>
    </row>
    <row r="13" spans="1:18" x14ac:dyDescent="0.15">
      <c r="A13" s="22" t="s">
        <v>95</v>
      </c>
      <c r="B13" s="22">
        <v>31.4</v>
      </c>
      <c r="C13" s="22" t="s">
        <v>426</v>
      </c>
      <c r="D13" s="43">
        <v>2.3006000000000002</v>
      </c>
      <c r="E13" s="43">
        <v>2.1101000000000001</v>
      </c>
      <c r="F13" s="43">
        <v>0.1905</v>
      </c>
      <c r="G13" s="30">
        <v>1.1149219119999999E-3</v>
      </c>
      <c r="H13" s="30">
        <v>1.3025610999999999E-3</v>
      </c>
      <c r="I13" s="30">
        <v>8.078759667E-4</v>
      </c>
      <c r="J13" s="37">
        <v>7.8403780899999993E-4</v>
      </c>
      <c r="K13" s="37">
        <v>1.0025745199999999E-3</v>
      </c>
      <c r="L13" s="37">
        <v>5.2082020250000002E-4</v>
      </c>
      <c r="M13" s="28">
        <v>2.3232735439999999E-2</v>
      </c>
      <c r="N13" s="28">
        <v>2.3446099799999998E-2</v>
      </c>
      <c r="O13" s="28">
        <v>8.8866356340000004E-3</v>
      </c>
      <c r="P13" s="24">
        <f t="shared" si="0"/>
        <v>9.3418933129751441E-2</v>
      </c>
      <c r="Q13" s="25">
        <f t="shared" si="1"/>
        <v>8.4903689498007293E-2</v>
      </c>
      <c r="R13" s="25">
        <f t="shared" si="2"/>
        <v>2.0223286802092313E-2</v>
      </c>
    </row>
    <row r="14" spans="1:18" x14ac:dyDescent="0.15">
      <c r="A14" s="22" t="s">
        <v>905</v>
      </c>
      <c r="B14" s="22">
        <v>3.4540000000000002</v>
      </c>
      <c r="C14" s="22" t="s">
        <v>209</v>
      </c>
      <c r="D14" s="43">
        <v>0.13646</v>
      </c>
      <c r="E14" s="43">
        <v>0.12451</v>
      </c>
      <c r="F14" s="43">
        <v>1.1950000000000001E-2</v>
      </c>
      <c r="G14" s="30">
        <v>1.6070443720000001E-4</v>
      </c>
      <c r="H14" s="30">
        <v>2.3494095900000001E-4</v>
      </c>
      <c r="I14" s="30">
        <v>7.5862697999999989E-5</v>
      </c>
      <c r="J14" s="37">
        <v>8.8080881600000003E-5</v>
      </c>
      <c r="K14" s="37">
        <v>1.5901265919999999E-4</v>
      </c>
      <c r="L14" s="37">
        <v>4.9433650299999999E-5</v>
      </c>
      <c r="M14" s="28">
        <v>4.821133117E-3</v>
      </c>
      <c r="N14" s="28">
        <v>3.7590553450000002E-3</v>
      </c>
      <c r="O14" s="28">
        <v>1.062077773E-3</v>
      </c>
      <c r="P14" s="24">
        <f t="shared" si="0"/>
        <v>2.6702405001567554E-2</v>
      </c>
      <c r="Q14" s="25">
        <f t="shared" si="1"/>
        <v>3.1247814509350724E-2</v>
      </c>
      <c r="R14" s="25">
        <f t="shared" si="2"/>
        <v>1.0614651009799806E-2</v>
      </c>
    </row>
    <row r="15" spans="1:18" x14ac:dyDescent="0.15">
      <c r="A15" s="22" t="s">
        <v>479</v>
      </c>
      <c r="B15" s="22">
        <v>0.1062</v>
      </c>
      <c r="C15" s="22" t="s">
        <v>481</v>
      </c>
      <c r="D15" s="43">
        <v>7.0800000000000004E-3</v>
      </c>
      <c r="E15" s="43">
        <v>5.8700000000000002E-3</v>
      </c>
      <c r="F15" s="43">
        <v>1.2099999999999999E-3</v>
      </c>
      <c r="G15" s="30">
        <v>1.64467917E-5</v>
      </c>
      <c r="H15" s="30">
        <v>2.1384316800000001E-5</v>
      </c>
      <c r="I15" s="30">
        <v>1.0686345699999999E-5</v>
      </c>
      <c r="J15" s="37">
        <v>1.10860143E-5</v>
      </c>
      <c r="K15" s="37">
        <v>1.39584135E-5</v>
      </c>
      <c r="L15" s="37">
        <v>5.2071736899999999E-6</v>
      </c>
      <c r="M15" s="28">
        <v>4.2761658430000001E-4</v>
      </c>
      <c r="N15" s="28">
        <v>2.9938043539999999E-4</v>
      </c>
      <c r="O15" s="28">
        <v>1.2823614889999999E-4</v>
      </c>
      <c r="P15" s="24">
        <f t="shared" si="0"/>
        <v>1.5619705896001817E-2</v>
      </c>
      <c r="Q15" s="25">
        <f t="shared" si="1"/>
        <v>1.8497320446667385E-2</v>
      </c>
      <c r="R15" s="25">
        <f t="shared" si="2"/>
        <v>8.9016197363539513E-3</v>
      </c>
    </row>
    <row r="16" spans="1:18" x14ac:dyDescent="0.15">
      <c r="A16" s="22" t="s">
        <v>258</v>
      </c>
      <c r="B16" s="22">
        <v>91</v>
      </c>
      <c r="C16" s="22" t="s">
        <v>296</v>
      </c>
      <c r="D16" s="43">
        <v>3.8540000000000001</v>
      </c>
      <c r="E16" s="43">
        <v>3.3959999999999999</v>
      </c>
      <c r="F16" s="43">
        <v>0.45800000000000002</v>
      </c>
      <c r="G16" s="30">
        <v>1.643089208E-3</v>
      </c>
      <c r="H16" s="30">
        <v>1.6734701959999999E-3</v>
      </c>
      <c r="I16" s="30">
        <v>1.601315349E-3</v>
      </c>
      <c r="J16" s="37">
        <v>6.9315420457000002E-4</v>
      </c>
      <c r="K16" s="37">
        <v>8.5956559979999999E-4</v>
      </c>
      <c r="L16" s="37">
        <v>4.2837314728000006E-4</v>
      </c>
      <c r="M16" s="28">
        <v>6.2437389900000008E-2</v>
      </c>
      <c r="N16" s="28">
        <v>3.681634432E-2</v>
      </c>
      <c r="O16" s="28">
        <v>2.5621045579999998E-2</v>
      </c>
      <c r="P16" s="24">
        <f t="shared" si="0"/>
        <v>5.8231919406416019E-2</v>
      </c>
      <c r="Q16" s="25">
        <f t="shared" si="1"/>
        <v>8.702041563548861E-2</v>
      </c>
      <c r="R16" s="25">
        <f t="shared" si="2"/>
        <v>1.686408426810633E-2</v>
      </c>
    </row>
    <row r="17" spans="1:18" x14ac:dyDescent="0.15">
      <c r="A17" s="22" t="s">
        <v>535</v>
      </c>
      <c r="B17" s="22">
        <v>1.55</v>
      </c>
      <c r="C17" s="22" t="s">
        <v>537</v>
      </c>
      <c r="D17" s="43">
        <v>6.4250000000000002E-2</v>
      </c>
      <c r="E17" s="43">
        <v>5.117E-2</v>
      </c>
      <c r="F17" s="43">
        <v>1.308E-2</v>
      </c>
      <c r="G17" s="30">
        <v>8.0869398999999992E-5</v>
      </c>
      <c r="H17" s="30">
        <v>9.1019713199999997E-5</v>
      </c>
      <c r="I17" s="30">
        <v>6.6278322399999999E-5</v>
      </c>
      <c r="J17" s="37">
        <v>5.0553299890000001E-5</v>
      </c>
      <c r="K17" s="37">
        <v>5.0553299890000001E-5</v>
      </c>
      <c r="L17" s="37">
        <v>4.8607013280000001E-5</v>
      </c>
      <c r="M17" s="28">
        <v>3.1539065610000001E-3</v>
      </c>
      <c r="N17" s="28">
        <v>2.093453403E-3</v>
      </c>
      <c r="O17" s="28">
        <v>1.0604531580000001E-3</v>
      </c>
      <c r="P17" s="24">
        <f t="shared" si="0"/>
        <v>1.9218453804779607E-2</v>
      </c>
      <c r="Q17" s="25">
        <f t="shared" si="1"/>
        <v>2.3059307093476481E-2</v>
      </c>
      <c r="R17" s="25">
        <f t="shared" si="2"/>
        <v>1.1636178881094372E-2</v>
      </c>
    </row>
    <row r="18" spans="1:18" x14ac:dyDescent="0.15">
      <c r="A18" s="22" t="s">
        <v>555</v>
      </c>
      <c r="B18" s="22">
        <v>3.97</v>
      </c>
      <c r="C18" s="22" t="s">
        <v>556</v>
      </c>
      <c r="D18" s="43">
        <v>0.19040000000000001</v>
      </c>
      <c r="E18" s="43">
        <v>0.1163</v>
      </c>
      <c r="F18" s="43">
        <v>7.4099999999999999E-2</v>
      </c>
      <c r="G18" s="30">
        <v>9.3661988900000011E-5</v>
      </c>
      <c r="H18" s="30">
        <v>9.6247296400000005E-5</v>
      </c>
      <c r="I18" s="30">
        <v>9.0947416E-5</v>
      </c>
      <c r="J18" s="37">
        <v>6.3281304129999999E-5</v>
      </c>
      <c r="K18" s="37">
        <v>7.7568134170000007E-5</v>
      </c>
      <c r="L18" s="37">
        <v>5.6846725459999999E-5</v>
      </c>
      <c r="M18" s="28">
        <v>3.840141543E-3</v>
      </c>
      <c r="N18" s="28">
        <v>2.0211932240000001E-3</v>
      </c>
      <c r="O18" s="28">
        <v>1.8189483190000002E-3</v>
      </c>
      <c r="P18" s="24">
        <f t="shared" si="0"/>
        <v>4.6775005425739841E-2</v>
      </c>
      <c r="Q18" s="25">
        <f t="shared" si="1"/>
        <v>5.4283271796717381E-2</v>
      </c>
      <c r="R18" s="25">
        <f t="shared" si="2"/>
        <v>3.8431911257264528E-2</v>
      </c>
    </row>
    <row r="19" spans="1:18" x14ac:dyDescent="0.15">
      <c r="A19" s="22" t="s">
        <v>906</v>
      </c>
      <c r="B19" s="22">
        <v>1.1000000000000001</v>
      </c>
      <c r="C19" s="22" t="s">
        <v>164</v>
      </c>
      <c r="D19" s="43">
        <v>8.2849999999999993E-2</v>
      </c>
      <c r="E19" s="43">
        <v>7.1042999999999995E-2</v>
      </c>
      <c r="F19" s="43">
        <v>1.1807E-2</v>
      </c>
      <c r="G19" s="30">
        <v>1.063854063E-4</v>
      </c>
      <c r="H19" s="30">
        <v>1.2018666669999999E-4</v>
      </c>
      <c r="I19" s="30">
        <v>8.86409286E-5</v>
      </c>
      <c r="J19" s="37">
        <v>6.2299999999999996E-5</v>
      </c>
      <c r="K19" s="37">
        <v>7.0499999999999992E-5</v>
      </c>
      <c r="L19" s="37">
        <v>5.8899999999999995E-5</v>
      </c>
      <c r="M19" s="28">
        <v>3.4043329999999998E-3</v>
      </c>
      <c r="N19" s="28">
        <v>2.16336E-3</v>
      </c>
      <c r="O19" s="28">
        <v>1.240973E-3</v>
      </c>
      <c r="P19" s="24">
        <f t="shared" si="0"/>
        <v>2.2959086951391233E-2</v>
      </c>
      <c r="Q19" s="25">
        <f t="shared" si="1"/>
        <v>3.0980372251131361E-2</v>
      </c>
      <c r="R19" s="25">
        <f t="shared" si="2"/>
        <v>8.9757627646073028E-3</v>
      </c>
    </row>
    <row r="20" spans="1:18" x14ac:dyDescent="0.15">
      <c r="A20" s="22" t="s">
        <v>202</v>
      </c>
      <c r="B20" s="22">
        <v>2.66</v>
      </c>
      <c r="C20" s="22" t="s">
        <v>164</v>
      </c>
      <c r="D20" s="43">
        <v>7.4746000000000007E-2</v>
      </c>
      <c r="E20" s="43">
        <v>6.2987000000000001E-2</v>
      </c>
      <c r="F20" s="43">
        <v>1.1759E-2</v>
      </c>
      <c r="G20" s="30">
        <v>6.418374999999999E-5</v>
      </c>
      <c r="H20" s="30">
        <v>8.7972777800000002E-5</v>
      </c>
      <c r="I20" s="30">
        <v>3.35978571E-5</v>
      </c>
      <c r="J20" s="37">
        <v>3.2400000000000001E-5</v>
      </c>
      <c r="K20" s="37">
        <v>4.155E-5</v>
      </c>
      <c r="L20" s="37">
        <v>2.0399999999999998E-5</v>
      </c>
      <c r="M20" s="28">
        <v>2.0538799999999997E-3</v>
      </c>
      <c r="N20" s="28">
        <v>1.58351E-3</v>
      </c>
      <c r="O20" s="28">
        <v>4.7037000000000007E-4</v>
      </c>
      <c r="P20" s="24">
        <f t="shared" si="0"/>
        <v>3.4332626219459102E-2</v>
      </c>
      <c r="Q20" s="25">
        <f t="shared" si="1"/>
        <v>3.7525306510983542E-2</v>
      </c>
      <c r="R20" s="25">
        <f t="shared" si="2"/>
        <v>2.3584404248602361E-2</v>
      </c>
    </row>
    <row r="21" spans="1:18" x14ac:dyDescent="0.15">
      <c r="A21" s="22" t="s">
        <v>204</v>
      </c>
      <c r="B21" s="22">
        <v>6.6</v>
      </c>
      <c r="C21" s="22" t="s">
        <v>164</v>
      </c>
      <c r="D21" s="43">
        <v>0.43513299999999999</v>
      </c>
      <c r="E21" s="43">
        <v>0.37026700000000001</v>
      </c>
      <c r="F21" s="43">
        <v>6.4865999999999993E-2</v>
      </c>
      <c r="G21" s="30">
        <v>2.8720275939999999E-4</v>
      </c>
      <c r="H21" s="30">
        <v>3.1244768330000001E-4</v>
      </c>
      <c r="I21" s="30">
        <v>2.5474500000000001E-4</v>
      </c>
      <c r="J21" s="37">
        <v>1.9051499999999999E-4</v>
      </c>
      <c r="K21" s="37">
        <v>1.79075E-4</v>
      </c>
      <c r="L21" s="37">
        <v>2.2197499999999999E-4</v>
      </c>
      <c r="M21" s="28">
        <v>9.1904883000000007E-3</v>
      </c>
      <c r="N21" s="28">
        <v>5.6240583E-3</v>
      </c>
      <c r="O21" s="28">
        <v>3.5664299999999998E-3</v>
      </c>
      <c r="P21" s="24">
        <f t="shared" si="0"/>
        <v>4.4666052204068329E-2</v>
      </c>
      <c r="Q21" s="25">
        <f t="shared" si="1"/>
        <v>6.2109685201171855E-2</v>
      </c>
      <c r="R21" s="25">
        <f t="shared" si="2"/>
        <v>1.715843003301383E-2</v>
      </c>
    </row>
    <row r="22" spans="1:18" x14ac:dyDescent="0.15">
      <c r="A22" s="22" t="s">
        <v>205</v>
      </c>
      <c r="B22" s="22">
        <v>36</v>
      </c>
      <c r="C22" s="22" t="s">
        <v>164</v>
      </c>
      <c r="D22" s="43">
        <v>1.671</v>
      </c>
      <c r="E22" s="43">
        <v>1.4097999999999999</v>
      </c>
      <c r="F22" s="43">
        <v>0.26119999999999999</v>
      </c>
      <c r="G22" s="30">
        <v>4.4773187500000001E-4</v>
      </c>
      <c r="H22" s="30">
        <v>4.5194277779999996E-4</v>
      </c>
      <c r="I22" s="30">
        <v>4.4231785710000004E-4</v>
      </c>
      <c r="J22" s="37">
        <v>4.1105999999999998E-4</v>
      </c>
      <c r="K22" s="37">
        <v>4.2538E-4</v>
      </c>
      <c r="L22" s="37">
        <v>3.6503000000000002E-4</v>
      </c>
      <c r="M22" s="28">
        <v>1.432742E-2</v>
      </c>
      <c r="N22" s="28">
        <v>8.13497E-3</v>
      </c>
      <c r="O22" s="28">
        <v>6.1924500000000004E-3</v>
      </c>
      <c r="P22" s="24">
        <f t="shared" si="0"/>
        <v>0.11002784132381284</v>
      </c>
      <c r="Q22" s="25">
        <f t="shared" si="1"/>
        <v>0.16349169081139819</v>
      </c>
      <c r="R22" s="25">
        <f t="shared" si="2"/>
        <v>3.9792827449494562E-2</v>
      </c>
    </row>
    <row r="23" spans="1:18" x14ac:dyDescent="0.15">
      <c r="A23" s="22" t="s">
        <v>206</v>
      </c>
      <c r="B23" s="22">
        <v>44</v>
      </c>
      <c r="C23" s="22" t="s">
        <v>164</v>
      </c>
      <c r="D23" s="43">
        <v>2.8468100000000001</v>
      </c>
      <c r="E23" s="43">
        <v>2.4046759999999998</v>
      </c>
      <c r="F23" s="43">
        <v>0.44213400000000003</v>
      </c>
      <c r="G23" s="30">
        <v>1.096895334E-3</v>
      </c>
      <c r="H23" s="30">
        <v>1.354264372E-3</v>
      </c>
      <c r="I23" s="30">
        <v>7.6599228569999996E-4</v>
      </c>
      <c r="J23" s="37">
        <v>6.816045E-4</v>
      </c>
      <c r="K23" s="37">
        <v>8.4952149999999995E-4</v>
      </c>
      <c r="L23" s="37">
        <v>5.9003949999999995E-4</v>
      </c>
      <c r="M23" s="28">
        <v>3.51006507E-2</v>
      </c>
      <c r="N23" s="28">
        <v>2.4376758700000001E-2</v>
      </c>
      <c r="O23" s="28">
        <v>1.0723891999999999E-2</v>
      </c>
      <c r="P23" s="24">
        <f t="shared" si="0"/>
        <v>7.651339099878153E-2</v>
      </c>
      <c r="Q23" s="25">
        <f t="shared" si="1"/>
        <v>9.3062506466495207E-2</v>
      </c>
      <c r="R23" s="25">
        <f t="shared" si="2"/>
        <v>3.8895164849647071E-2</v>
      </c>
    </row>
    <row r="24" spans="1:18" x14ac:dyDescent="0.15">
      <c r="A24" s="22" t="s">
        <v>207</v>
      </c>
      <c r="B24" s="22">
        <v>86</v>
      </c>
      <c r="C24" s="22" t="s">
        <v>164</v>
      </c>
      <c r="D24" s="43">
        <v>5.8285999999999998</v>
      </c>
      <c r="E24" s="43">
        <v>5.0380000000000003</v>
      </c>
      <c r="F24" s="43">
        <v>0.79059999999999997</v>
      </c>
      <c r="G24" s="30">
        <v>1.568395313E-3</v>
      </c>
      <c r="H24" s="30">
        <v>2.0295305559999998E-3</v>
      </c>
      <c r="I24" s="30">
        <v>9.7550714289999991E-4</v>
      </c>
      <c r="J24" s="37">
        <v>8.4808500000000005E-4</v>
      </c>
      <c r="K24" s="37">
        <v>1.032945E-3</v>
      </c>
      <c r="L24" s="37">
        <v>8.0230999999999998E-4</v>
      </c>
      <c r="M24" s="28">
        <v>5.0188650000000001E-2</v>
      </c>
      <c r="N24" s="28">
        <v>3.6531549999999996E-2</v>
      </c>
      <c r="O24" s="28">
        <v>1.36571E-2</v>
      </c>
      <c r="P24" s="24">
        <f t="shared" si="0"/>
        <v>0.10956021421741804</v>
      </c>
      <c r="Q24" s="25">
        <f t="shared" si="1"/>
        <v>0.13010206762864554</v>
      </c>
      <c r="R24" s="25">
        <f t="shared" si="2"/>
        <v>5.46125499999102E-2</v>
      </c>
    </row>
    <row r="25" spans="1:18" x14ac:dyDescent="0.15">
      <c r="A25" s="22" t="s">
        <v>208</v>
      </c>
      <c r="B25" s="22">
        <v>133</v>
      </c>
      <c r="C25" s="22" t="s">
        <v>164</v>
      </c>
      <c r="D25" s="43">
        <v>7.8715330000000003</v>
      </c>
      <c r="E25" s="43">
        <v>6.4710039999999998</v>
      </c>
      <c r="F25" s="43">
        <v>1.4005289999999999</v>
      </c>
      <c r="G25" s="30">
        <v>2.4978581250000003E-3</v>
      </c>
      <c r="H25" s="30">
        <v>3.025617222E-3</v>
      </c>
      <c r="I25" s="30">
        <v>1.8193107139999999E-3</v>
      </c>
      <c r="J25" s="37">
        <v>1.29923E-3</v>
      </c>
      <c r="K25" s="37">
        <v>2.4297149999999998E-3</v>
      </c>
      <c r="L25" s="37">
        <v>8.6797000000000003E-4</v>
      </c>
      <c r="M25" s="28">
        <v>7.993146000000001E-2</v>
      </c>
      <c r="N25" s="28">
        <v>5.4461109999999993E-2</v>
      </c>
      <c r="O25" s="28">
        <v>2.5470349999999999E-2</v>
      </c>
      <c r="P25" s="24">
        <f t="shared" si="0"/>
        <v>9.290427734338752E-2</v>
      </c>
      <c r="Q25" s="25">
        <f t="shared" si="1"/>
        <v>0.1120932121052432</v>
      </c>
      <c r="R25" s="25">
        <f t="shared" si="2"/>
        <v>5.1874189933978361E-2</v>
      </c>
    </row>
    <row r="26" spans="1:18" x14ac:dyDescent="0.15">
      <c r="A26" s="22" t="s">
        <v>603</v>
      </c>
      <c r="B26" s="22">
        <v>1.329</v>
      </c>
      <c r="C26" s="22" t="s">
        <v>605</v>
      </c>
      <c r="D26" s="43">
        <v>4.2102326000000002E-2</v>
      </c>
      <c r="E26" s="43">
        <v>3.6263372000000002E-2</v>
      </c>
      <c r="F26" s="43">
        <v>5.838953E-3</v>
      </c>
      <c r="G26" s="30">
        <v>1.041883975E-4</v>
      </c>
      <c r="H26" s="30">
        <v>1.8567331170000001E-4</v>
      </c>
      <c r="I26" s="30">
        <v>4.0164536400000003E-5</v>
      </c>
      <c r="J26" s="37">
        <v>4.9532798849999998E-5</v>
      </c>
      <c r="K26" s="37">
        <v>1.6285859655999999E-4</v>
      </c>
      <c r="L26" s="37">
        <v>2.737955334E-5</v>
      </c>
      <c r="M26" s="28">
        <v>2.6047099379999999E-3</v>
      </c>
      <c r="N26" s="28">
        <v>2.0424064280000001E-3</v>
      </c>
      <c r="O26" s="28">
        <v>5.6230351019999998E-4</v>
      </c>
      <c r="P26" s="24">
        <f t="shared" si="0"/>
        <v>1.5248982196534361E-2</v>
      </c>
      <c r="Q26" s="25">
        <f t="shared" si="1"/>
        <v>1.6750205949648919E-2</v>
      </c>
      <c r="R26" s="25">
        <f t="shared" si="2"/>
        <v>9.7962152582968063E-3</v>
      </c>
    </row>
    <row r="27" spans="1:18" x14ac:dyDescent="0.15">
      <c r="A27" s="22" t="s">
        <v>297</v>
      </c>
      <c r="B27" s="22">
        <v>2160</v>
      </c>
      <c r="C27" s="22" t="s">
        <v>298</v>
      </c>
      <c r="D27" s="43">
        <v>63.919060000000002</v>
      </c>
      <c r="E27" s="43">
        <v>55.913939999999997</v>
      </c>
      <c r="F27" s="43">
        <v>8.0051200000000051</v>
      </c>
      <c r="G27" s="30">
        <v>1.3176254470000001E-2</v>
      </c>
      <c r="H27" s="30">
        <v>1.658762699E-2</v>
      </c>
      <c r="I27" s="30">
        <v>7.5940085280000007E-3</v>
      </c>
      <c r="J27" s="37">
        <v>8.1332368589E-3</v>
      </c>
      <c r="K27" s="37">
        <v>9.1763442569000007E-3</v>
      </c>
      <c r="L27" s="37">
        <v>6.3036661948000002E-3</v>
      </c>
      <c r="M27" s="28">
        <v>0.38211137960000002</v>
      </c>
      <c r="N27" s="28">
        <v>0.29857728579999998</v>
      </c>
      <c r="O27" s="28">
        <v>8.3534093810000001E-2</v>
      </c>
      <c r="P27" s="24">
        <f t="shared" si="0"/>
        <v>0.15781000833611394</v>
      </c>
      <c r="Q27" s="25">
        <f t="shared" si="1"/>
        <v>0.17666782608283729</v>
      </c>
      <c r="R27" s="25">
        <f t="shared" si="2"/>
        <v>9.0406200098096259E-2</v>
      </c>
    </row>
    <row r="28" spans="1:18" x14ac:dyDescent="0.15">
      <c r="A28" s="22" t="s">
        <v>335</v>
      </c>
      <c r="B28" s="22">
        <v>2065</v>
      </c>
      <c r="C28" s="22" t="s">
        <v>298</v>
      </c>
      <c r="D28" s="43">
        <v>67.408580000000001</v>
      </c>
      <c r="E28" s="43">
        <v>58.201419999999999</v>
      </c>
      <c r="F28" s="43">
        <v>9.2071600000000018</v>
      </c>
      <c r="G28" s="30">
        <v>1.6264076370000002E-2</v>
      </c>
      <c r="H28" s="30">
        <v>1.8811970109999999E-2</v>
      </c>
      <c r="I28" s="30">
        <v>1.145138817E-2</v>
      </c>
      <c r="J28" s="37">
        <v>1.0774337728000001E-2</v>
      </c>
      <c r="K28" s="37">
        <v>1.1158671586E-2</v>
      </c>
      <c r="L28" s="37">
        <v>1.0412332651E-2</v>
      </c>
      <c r="M28" s="28">
        <v>0.42286598549999999</v>
      </c>
      <c r="N28" s="28">
        <v>0.31980349190000001</v>
      </c>
      <c r="O28" s="28">
        <v>0.1030624936</v>
      </c>
      <c r="P28" s="24">
        <f t="shared" si="0"/>
        <v>0.15038570653727837</v>
      </c>
      <c r="Q28" s="25">
        <f t="shared" si="1"/>
        <v>0.1716898076183889</v>
      </c>
      <c r="R28" s="25">
        <f t="shared" si="2"/>
        <v>8.4278962177177535E-2</v>
      </c>
    </row>
    <row r="29" spans="1:18" x14ac:dyDescent="0.15">
      <c r="A29" s="22" t="s">
        <v>649</v>
      </c>
      <c r="B29" s="22">
        <v>3.6</v>
      </c>
      <c r="C29" s="22" t="s">
        <v>650</v>
      </c>
      <c r="D29" s="43">
        <v>9.9533999999999997E-2</v>
      </c>
      <c r="E29" s="43">
        <v>8.3421999999999996E-2</v>
      </c>
      <c r="F29" s="43">
        <v>1.6112000000000001E-2</v>
      </c>
      <c r="G29" s="30">
        <v>1.008870048E-4</v>
      </c>
      <c r="H29" s="30">
        <v>1.2142257620000002E-4</v>
      </c>
      <c r="I29" s="30">
        <v>7.7613357300000002E-5</v>
      </c>
      <c r="J29" s="37">
        <v>7.0569540149999999E-5</v>
      </c>
      <c r="K29" s="37">
        <v>1.2043529754E-4</v>
      </c>
      <c r="L29" s="37">
        <v>6.3492364940000008E-5</v>
      </c>
      <c r="M29" s="28">
        <v>3.2283841549999998E-3</v>
      </c>
      <c r="N29" s="28">
        <v>2.0641837960000001E-3</v>
      </c>
      <c r="O29" s="28">
        <v>1.1642003590000001E-3</v>
      </c>
      <c r="P29" s="24">
        <f t="shared" si="0"/>
        <v>2.9085757918422196E-2</v>
      </c>
      <c r="Q29" s="25">
        <f t="shared" si="1"/>
        <v>3.8126449859991043E-2</v>
      </c>
      <c r="R29" s="25">
        <f t="shared" si="2"/>
        <v>1.3056171888708376E-2</v>
      </c>
    </row>
    <row r="30" spans="1:18" x14ac:dyDescent="0.15">
      <c r="A30" s="22" t="s">
        <v>367</v>
      </c>
      <c r="B30" s="22">
        <v>1.7589999999999999</v>
      </c>
      <c r="C30" s="22" t="s">
        <v>364</v>
      </c>
      <c r="D30" s="43">
        <v>5.1173700000000003E-2</v>
      </c>
      <c r="E30" s="43">
        <v>4.0621299999999999E-2</v>
      </c>
      <c r="F30" s="43">
        <v>1.05524E-2</v>
      </c>
      <c r="G30" s="30">
        <v>3.9724744900000001E-5</v>
      </c>
      <c r="H30" s="30">
        <v>6.0619662600000004E-5</v>
      </c>
      <c r="I30" s="30">
        <v>2.35786721E-5</v>
      </c>
      <c r="J30" s="37">
        <v>2.6631861600000001E-5</v>
      </c>
      <c r="K30" s="37">
        <v>5.2952680580000001E-5</v>
      </c>
      <c r="L30" s="37">
        <v>1.840183342E-5</v>
      </c>
      <c r="M30" s="28">
        <v>1.549265051E-3</v>
      </c>
      <c r="N30" s="28">
        <v>1.0305342639999999E-3</v>
      </c>
      <c r="O30" s="28">
        <v>5.1873078689999993E-4</v>
      </c>
      <c r="P30" s="24">
        <f t="shared" si="0"/>
        <v>3.1161275754937375E-2</v>
      </c>
      <c r="Q30" s="25">
        <f t="shared" si="1"/>
        <v>3.7186518169060587E-2</v>
      </c>
      <c r="R30" s="25">
        <f t="shared" si="2"/>
        <v>1.919125409755517E-2</v>
      </c>
    </row>
    <row r="31" spans="1:18" x14ac:dyDescent="0.15">
      <c r="A31" s="19" t="s">
        <v>907</v>
      </c>
      <c r="B31" s="19">
        <v>4.7</v>
      </c>
      <c r="C31" s="19" t="s">
        <v>908</v>
      </c>
      <c r="D31" s="31">
        <v>0.1348</v>
      </c>
      <c r="E31" s="31">
        <v>0.1094</v>
      </c>
      <c r="F31" s="31">
        <v>2.5399999999999999E-2</v>
      </c>
      <c r="G31" s="30">
        <v>1.065108907E-4</v>
      </c>
      <c r="H31" s="30">
        <v>1.5114248239999999E-4</v>
      </c>
      <c r="I31" s="30">
        <v>6.4110878699999991E-5</v>
      </c>
      <c r="J31" s="37">
        <v>7.0723999999999996E-5</v>
      </c>
      <c r="K31" s="37">
        <v>9.6698099999999995E-5</v>
      </c>
      <c r="L31" s="37">
        <v>5.47581E-5</v>
      </c>
      <c r="M31" s="28">
        <v>4.1539247389999999E-3</v>
      </c>
      <c r="N31" s="28">
        <v>2.871707165E-3</v>
      </c>
      <c r="O31" s="28">
        <v>1.2822175740000001E-3</v>
      </c>
      <c r="P31" s="24">
        <f t="shared" ref="P31" si="3">D31/(1060*M31)</f>
        <v>3.0614375394622365E-2</v>
      </c>
      <c r="Q31" s="25">
        <f t="shared" ref="Q31" si="4">E31/(1060*N31)</f>
        <v>3.593943993583041E-2</v>
      </c>
      <c r="R31" s="25">
        <f t="shared" ref="R31" si="5">F31/(1060*O31)</f>
        <v>1.8688142041440616E-2</v>
      </c>
    </row>
    <row r="32" spans="1:18" x14ac:dyDescent="0.15">
      <c r="A32" s="19" t="s">
        <v>842</v>
      </c>
      <c r="B32" s="19">
        <v>3.79</v>
      </c>
      <c r="C32" s="19" t="s">
        <v>859</v>
      </c>
      <c r="E32" s="31">
        <v>7.0680000000000007E-2</v>
      </c>
      <c r="H32" s="29">
        <v>8.2616045299999994E-5</v>
      </c>
      <c r="K32" s="36">
        <v>6.1096136560000002E-5</v>
      </c>
      <c r="N32" s="27">
        <v>1.734936951E-3</v>
      </c>
      <c r="Q32" s="25">
        <f t="shared" si="1"/>
        <v>3.8433238305625825E-2</v>
      </c>
    </row>
    <row r="33" spans="1:18" x14ac:dyDescent="0.15">
      <c r="A33" s="19" t="s">
        <v>860</v>
      </c>
      <c r="B33" s="19">
        <v>7.6</v>
      </c>
      <c r="C33" s="19" t="s">
        <v>861</v>
      </c>
      <c r="F33" s="31">
        <v>8.1460000000000005E-2</v>
      </c>
      <c r="I33" s="30">
        <v>1.260432311E-4</v>
      </c>
      <c r="J33" s="37"/>
      <c r="K33" s="37"/>
      <c r="L33" s="37">
        <v>1.010093224E-4</v>
      </c>
      <c r="M33" s="28"/>
      <c r="N33" s="28"/>
      <c r="O33" s="28">
        <v>2.7729510829999997E-3</v>
      </c>
      <c r="R33" s="25">
        <f>F33/(1060*O33)</f>
        <v>2.7713816184825067E-2</v>
      </c>
    </row>
    <row r="34" spans="1:18" x14ac:dyDescent="0.15">
      <c r="A34" s="19" t="s">
        <v>912</v>
      </c>
      <c r="B34" s="19">
        <v>33.1</v>
      </c>
      <c r="C34" s="19" t="s">
        <v>809</v>
      </c>
      <c r="D34" s="31">
        <v>1.9613999999999998</v>
      </c>
      <c r="E34" s="31">
        <v>1.7817000000000001</v>
      </c>
      <c r="F34" s="31">
        <v>0.17969999999999975</v>
      </c>
    </row>
    <row r="35" spans="1:18" x14ac:dyDescent="0.15">
      <c r="A35" s="19" t="s">
        <v>821</v>
      </c>
      <c r="B35" s="19">
        <v>172</v>
      </c>
      <c r="C35" s="19" t="s">
        <v>820</v>
      </c>
      <c r="D35" s="31">
        <v>15.559200000000001</v>
      </c>
      <c r="E35" s="31">
        <v>12.072800000000001</v>
      </c>
      <c r="F35" s="31">
        <v>3.4863999999999997</v>
      </c>
    </row>
    <row r="36" spans="1:18" x14ac:dyDescent="0.15">
      <c r="A36" s="19" t="s">
        <v>822</v>
      </c>
      <c r="B36" s="19">
        <v>126</v>
      </c>
      <c r="C36" s="19" t="s">
        <v>820</v>
      </c>
      <c r="D36" s="31">
        <v>9.6734000000000009</v>
      </c>
      <c r="E36" s="31">
        <v>7.0847000000000007</v>
      </c>
      <c r="F36" s="31">
        <v>2.5887000000000002</v>
      </c>
    </row>
    <row r="37" spans="1:18" x14ac:dyDescent="0.15">
      <c r="A37" s="19" t="s">
        <v>790</v>
      </c>
      <c r="B37" s="19">
        <v>6.8</v>
      </c>
      <c r="C37" s="19" t="s">
        <v>880</v>
      </c>
      <c r="D37" s="31">
        <v>0.318</v>
      </c>
      <c r="E37" s="31">
        <v>0.2447</v>
      </c>
      <c r="F37" s="31">
        <v>7.3300000000000004E-2</v>
      </c>
    </row>
  </sheetData>
  <mergeCells count="5">
    <mergeCell ref="D1:F1"/>
    <mergeCell ref="G1:I1"/>
    <mergeCell ref="M1:O1"/>
    <mergeCell ref="P1:R1"/>
    <mergeCell ref="J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 - hindlimb</vt:lpstr>
      <vt:lpstr>Raw data - forelimb</vt:lpstr>
      <vt:lpstr>Collated data - hindlimb</vt:lpstr>
      <vt:lpstr>Collated data - forelimb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Bishop</dc:creator>
  <cp:lastModifiedBy>Chisom Chisombili Obiora-Egbuziem</cp:lastModifiedBy>
  <dcterms:created xsi:type="dcterms:W3CDTF">2019-12-08T11:32:02Z</dcterms:created>
  <dcterms:modified xsi:type="dcterms:W3CDTF">2026-02-06T17:52:39Z</dcterms:modified>
</cp:coreProperties>
</file>